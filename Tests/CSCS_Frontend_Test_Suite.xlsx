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est Plan" sheetId="1" state="visible" r:id="rId3"/>
    <sheet name="Test Cases" sheetId="2" state="visible" r:id="rId4"/>
    <sheet name="Summary" sheetId="3" state="visible" r:id="rId5"/>
  </sheets>
  <definedNames>
    <definedName function="false" hidden="true" localSheetId="1" name="_xlnm._FilterDatabase" vbProcedure="false">'Test Cases'!$A$1:$M$29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<sst xmlns="http://schemas.openxmlformats.org/spreadsheetml/2006/main" count="378" uniqueCount="232">
  <si>
    <t xml:space="preserve">CSCS Main Project — Frontend Constraint Test Plan</t>
  </si>
  <si>
    <t xml:space="preserve">Project</t>
  </si>
  <si>
    <t xml:space="preserve">Country Soccer Club System (CSCS) — COMP 353 Main Project</t>
  </si>
  <si>
    <t xml:space="preserve">Test Plan Owner</t>
  </si>
  <si>
    <t xml:space="preserve">Achraf Cheniti</t>
  </si>
  <si>
    <t xml:space="preserve">Area Path</t>
  </si>
  <si>
    <t xml:space="preserve">CSCS \ Database Integrity \ Trigger Constraints</t>
  </si>
  <si>
    <t xml:space="preserve">Iteration Path</t>
  </si>
  <si>
    <t xml:space="preserve">CSCS \ Main Project</t>
  </si>
  <si>
    <t xml:space="preserve">Build / Schema Version</t>
  </si>
  <si>
    <t xml:space="preserve">01_schema.sql + 05_trigger.sql (post-fix)</t>
  </si>
  <si>
    <t xml:space="preserve">Objective</t>
  </si>
  <si>
    <t xml:space="preserve">Manually exercise every DB trigger through the frontend GUI to confirm the backend surfaces the correct accept/reject behavior end-to-end, not just at the raw SQL layer.</t>
  </si>
  <si>
    <t xml:space="preserve">Legend</t>
  </si>
  <si>
    <t xml:space="preserve">Type = Negative</t>
  </si>
  <si>
    <t xml:space="preserve">The action should be REJECTED by a trigger. Passing means you saw an error and nothing was saved.</t>
  </si>
  <si>
    <t xml:space="preserve">Type = Positive</t>
  </si>
  <si>
    <t xml:space="preserve">The action should SUCCEED. Passing means it saved with no error (a false rejection is a fail).</t>
  </si>
  <si>
    <t xml:space="preserve">Outcome: Not Run</t>
  </si>
  <si>
    <t xml:space="preserve">Default state — test not yet executed.</t>
  </si>
  <si>
    <t xml:space="preserve">Outcome: Passed</t>
  </si>
  <si>
    <t xml:space="preserve">Actual behavior matched Expected Result.</t>
  </si>
  <si>
    <t xml:space="preserve">Outcome: Failed</t>
  </si>
  <si>
    <t xml:space="preserve">Actual behavior did not match — the frontend allowed something it shouldn't have, blocked something valid, or the error message/UX was misleading.</t>
  </si>
  <si>
    <t xml:space="preserve">Outcome: Blocked</t>
  </si>
  <si>
    <t xml:space="preserve">Could not be executed (e.g. missing test data, unrelated bug in the way).</t>
  </si>
  <si>
    <t xml:space="preserve">Yellow cells</t>
  </si>
  <si>
    <t xml:space="preserve">Fill these in yourself while testing: Outcome, Actual Result / Notes, Tested By, Date Tested.</t>
  </si>
  <si>
    <t xml:space="preserve">Note</t>
  </si>
  <si>
    <t xml:space="preserve">The Expected Result for each case states the underlying constraint being tested. The exact error text your frontend displays may differ from the raw SQL message (SIGNAL MESSAGE_TEXT) if your backend wraps/rewords it — that's fine, as long as the record is genuinely rejected and the user is told why.</t>
  </si>
  <si>
    <t xml:space="preserve">Test Case ID</t>
  </si>
  <si>
    <t xml:space="preserve">Suite</t>
  </si>
  <si>
    <t xml:space="preserve">Title</t>
  </si>
  <si>
    <t xml:space="preserve">Priority</t>
  </si>
  <si>
    <t xml:space="preserve">Type</t>
  </si>
  <si>
    <t xml:space="preserve">Related Trigger</t>
  </si>
  <si>
    <t xml:space="preserve">Precondition</t>
  </si>
  <si>
    <t xml:space="preserve">Steps</t>
  </si>
  <si>
    <t xml:space="preserve">Expected Result</t>
  </si>
  <si>
    <t xml:space="preserve">Outcome</t>
  </si>
  <si>
    <t xml:space="preserve">Actual Result / Notes</t>
  </si>
  <si>
    <t xml:space="preserve">Tested By</t>
  </si>
  <si>
    <t xml:space="preserve">Date Tested</t>
  </si>
  <si>
    <t xml:space="preserve">TC-001</t>
  </si>
  <si>
    <t xml:space="preserve">Location Management</t>
  </si>
  <si>
    <t xml:space="preserve">Reject a second Head location</t>
  </si>
  <si>
    <t xml:space="preserve">Negative</t>
  </si>
  <si>
    <t xml:space="preserve">trg_location_before_insert</t>
  </si>
  <si>
    <t xml:space="preserve">A Head location already exists in the system.</t>
  </si>
  <si>
    <t xml:space="preserve">1. Go to Locations.
2. Click Add / Create Location.
3. Fill in valid details and set Type = Head.
4. Submit.</t>
  </si>
  <si>
    <t xml:space="preserve">Submission is rejected with an error that only one Head location is allowed. No new row appears in the Locations list.</t>
  </si>
  <si>
    <t xml:space="preserve">Passed</t>
  </si>
  <si>
    <t xml:space="preserve">The club can only have one Head location.
</t>
  </si>
  <si>
    <t xml:space="preserve">Achraf</t>
  </si>
  <si>
    <t xml:space="preserve">15-08-2026</t>
  </si>
  <si>
    <t xml:space="preserve">TC-002</t>
  </si>
  <si>
    <t xml:space="preserve">Create a Branch location</t>
  </si>
  <si>
    <t xml:space="preserve">Positive</t>
  </si>
  <si>
    <t xml:space="preserve">None.</t>
  </si>
  <si>
    <t xml:space="preserve">1. Go to Locations.
2. Click Add / Create Location.
3. Fill in valid details and set Type = Branch.
4. Submit.</t>
  </si>
  <si>
    <t xml:space="preserve">Location is created and appears in the Locations list.</t>
  </si>
  <si>
    <t xml:space="preserve">No Issue you can create a branch</t>
  </si>
  <si>
    <t xml:space="preserve">TC-003</t>
  </si>
  <si>
    <t xml:space="preserve">Reject promoting a Branch to Head</t>
  </si>
  <si>
    <t xml:space="preserve">trg_location_before_update</t>
  </si>
  <si>
    <t xml:space="preserve">A Head location exists; at least one Branch exists.</t>
  </si>
  <si>
    <t xml:space="preserve">1. Open an existing Branch location for editing.
2. Change Type to Head.
3. Save.</t>
  </si>
  <si>
    <t xml:space="preserve">Save is rejected with the same "only one Head location" error; the Branch's Type remains unchanged.</t>
  </si>
  <si>
    <t xml:space="preserve">The club can only have one Head location.
This works fine</t>
  </si>
  <si>
    <t xml:space="preserve">TC-004</t>
  </si>
  <si>
    <t xml:space="preserve">Personnel Management</t>
  </si>
  <si>
    <t xml:space="preserve">Reject overlapping personnel assignment</t>
  </si>
  <si>
    <t xml:space="preserve">trg_personnel_assignment_before_insert</t>
  </si>
  <si>
    <t xml:space="preserve">A Personnel record has an active (open-ended) assignment at Location A.</t>
  </si>
  <si>
    <t xml:space="preserve">1. Open the same Personnel record.
2. Add a new assignment to Location B with a start date that overlaps the existing assignment's period.
3. Save.</t>
  </si>
  <si>
    <t xml:space="preserve">Rejected: personnel cannot operate at two locations during overlapping periods.</t>
  </si>
  <si>
    <t xml:space="preserve">Blocked</t>
  </si>
  <si>
    <r>
      <rPr>
        <sz val="10"/>
        <rFont val="Arial"/>
        <family val="2"/>
        <charset val="1"/>
      </rPr>
      <t xml:space="preserve">We need to create a section to preview the </t>
    </r>
    <r>
      <rPr>
        <b val="true"/>
        <sz val="10"/>
        <rFont val="Arial"/>
        <family val="2"/>
        <charset val="1"/>
      </rPr>
      <t xml:space="preserve">PersonnelAssignment.
</t>
    </r>
    <r>
      <rPr>
        <sz val="10"/>
        <rFont val="Arial"/>
        <family val="2"/>
        <charset val="1"/>
      </rPr>
      <t xml:space="preserve">This trigger requires a section in the Personnel page trg_personnel_assignment_before_insert Which must be implement in the </t>
    </r>
    <r>
      <rPr>
        <sz val="10"/>
        <color rgb="FFFF0000"/>
        <rFont val="Arial"/>
        <family val="2"/>
        <charset val="1"/>
      </rPr>
      <t xml:space="preserve">frontend</t>
    </r>
  </si>
  <si>
    <t xml:space="preserve">TC-005</t>
  </si>
  <si>
    <t xml:space="preserve">Accept a sequential personnel assignment</t>
  </si>
  <si>
    <t xml:space="preserve">Personnel record from TC-004.</t>
  </si>
  <si>
    <t xml:space="preserve">1. End-date the current assignment.
2. Add a new assignment to a different location starting after that end date.
3. Save.</t>
  </si>
  <si>
    <t xml:space="preserve">Both assignments save successfully; no overlap error.</t>
  </si>
  <si>
    <t xml:space="preserve">Same note as the one above</t>
  </si>
  <si>
    <t xml:space="preserve">TC-006</t>
  </si>
  <si>
    <t xml:space="preserve">Family Member Management</t>
  </si>
  <si>
    <t xml:space="preserve">Reject overlapping family member assignment</t>
  </si>
  <si>
    <t xml:space="preserve">trg_family_assignment_before_insert</t>
  </si>
  <si>
    <t xml:space="preserve">A Family Member has an active (open-ended) assignment at Location A.</t>
  </si>
  <si>
    <t xml:space="preserve">1. Open the same Family Member record.
2. Add a new assignment to Location B overlapping the existing period.
3. Save.</t>
  </si>
  <si>
    <t xml:space="preserve">Rejected: family member cannot be associated with two locations during overlapping periods.</t>
  </si>
  <si>
    <t xml:space="preserve">We need to create a section to preview the FamilyMemberAssignment Similar to the PersonnelAssignment</t>
  </si>
  <si>
    <t xml:space="preserve">TC-007</t>
  </si>
  <si>
    <t xml:space="preserve">Accept a sequential family member assignment</t>
  </si>
  <si>
    <t xml:space="preserve">Family Member record from TC-006.</t>
  </si>
  <si>
    <t xml:space="preserve">1. End-date the current assignment.
2. Add a new assignment starting after that end date.
3. Save.</t>
  </si>
  <si>
    <t xml:space="preserve">Both assignments save successfully.</t>
  </si>
  <si>
    <t xml:space="preserve">TC-008</t>
  </si>
  <si>
    <t xml:space="preserve">Reject deleting a minor's only family relation</t>
  </si>
  <si>
    <t xml:space="preserve">trg_family_relation_before_delete</t>
  </si>
  <si>
    <t xml:space="preserve">A minor Club Member has exactly one active family relation.</t>
  </si>
  <si>
    <t xml:space="preserve">1. Open the minor's profile / Family Members tab.
2. Delete the linked family member relation.</t>
  </si>
  <si>
    <t xml:space="preserve">Rejected: a minor club member must always have at least one active linked family member. The relation is not removed.</t>
  </si>
  <si>
    <t xml:space="preserve">You can only leave at least one family member for those under 18 years old</t>
  </si>
  <si>
    <t xml:space="preserve">TC-009</t>
  </si>
  <si>
    <t xml:space="preserve">Accept removing one of two relations when another remains active</t>
  </si>
  <si>
    <t xml:space="preserve">A minor Club Member has two active family relations.</t>
  </si>
  <si>
    <t xml:space="preserve">1. Open the minor's profile.
2. Delete one of the two relations.</t>
  </si>
  <si>
    <t xml:space="preserve">Succeeds — the deletion is allowed because another active relation remains.</t>
  </si>
  <si>
    <t xml:space="preserve">As long as you have one relation and the member &lt; 18 all is good</t>
  </si>
  <si>
    <t xml:space="preserve">TC-010</t>
  </si>
  <si>
    <t xml:space="preserve">Reject end-dating a minor's last active relation</t>
  </si>
  <si>
    <t xml:space="preserve">trg_family_relation_before_update</t>
  </si>
  <si>
    <t xml:space="preserve">1. Open the minor's profile.
2. Edit the relation and set an End Date of today or earlier.
3. Save.</t>
  </si>
  <si>
    <t xml:space="preserve">Rejected with the same "must always have at least one active linked family member" error.</t>
  </si>
  <si>
    <t xml:space="preserve">Cannot update this family relation: a minor club member must always have at least one active linked family member.
</t>
  </si>
  <si>
    <t xml:space="preserve">TC-011</t>
  </si>
  <si>
    <t xml:space="preserve">Club Member Management</t>
  </si>
  <si>
    <t xml:space="preserve">Reject registering a club member under age 4</t>
  </si>
  <si>
    <t xml:space="preserve">trg_club_member_before_insert</t>
  </si>
  <si>
    <t xml:space="preserve">1. Go to Club Members.
2. Click Add / Register.
3. Enter a Date of Birth less than 4 years before the Registration Date.
4. Submit.</t>
  </si>
  <si>
    <t xml:space="preserve">Rejected: a new club member must be at least 4 years old at registration.</t>
  </si>
  <si>
    <t xml:space="preserve">A club member must have been at least 4 years old at registration.
</t>
  </si>
  <si>
    <t xml:space="preserve">TC-012</t>
  </si>
  <si>
    <t xml:space="preserve">Reject registering a member at a full-capacity location</t>
  </si>
  <si>
    <t xml:space="preserve">A location's active Club Member count already equals its Capacity.</t>
  </si>
  <si>
    <t xml:space="preserve">1. Go to Club Members, click Add.
2. Set Location to the full location; fill in valid details otherwise.
3. Submit.</t>
  </si>
  <si>
    <t xml:space="preserve">Rejected: location capacity reached.</t>
  </si>
  <si>
    <t xml:space="preserve">Location capacity reached: another active club member cannot be added.
</t>
  </si>
  <si>
    <t xml:space="preserve">TC-013</t>
  </si>
  <si>
    <t xml:space="preserve">Accept a valid club member registration</t>
  </si>
  <si>
    <t xml:space="preserve">Target location is under capacity.</t>
  </si>
  <si>
    <t xml:space="preserve">1. Go to Club Members, click Add.
2. Fill in valid details, age 4+, location under capacity.
3. Submit.</t>
  </si>
  <si>
    <t xml:space="preserve">Club member is created and appears in the list.</t>
  </si>
  <si>
    <t xml:space="preserve">Works fine</t>
  </si>
  <si>
    <t xml:space="preserve">TC-014</t>
  </si>
  <si>
    <t xml:space="preserve">Reject transferring a member into a full location</t>
  </si>
  <si>
    <t xml:space="preserve">trg_club_member_before_update</t>
  </si>
  <si>
    <t xml:space="preserve">Club Member A is at Location X (under capacity); Location Y is at full capacity.</t>
  </si>
  <si>
    <t xml:space="preserve">1. Open Club Member A.
2. Change Location to Y.
3. Save.</t>
  </si>
  <si>
    <t xml:space="preserve">Rejected: location capacity reached — member cannot be transferred there.</t>
  </si>
  <si>
    <t xml:space="preserve">TC-015</t>
  </si>
  <si>
    <t xml:space="preserve">Team Formation Management</t>
  </si>
  <si>
    <t xml:space="preserve">Accept the first formation in a new session</t>
  </si>
  <si>
    <t xml:space="preserve">trg_team_formation_before_insert</t>
  </si>
  <si>
    <t xml:space="preserve">A Session exists with no formations yet.</t>
  </si>
  <si>
    <t xml:space="preserve">1. Go to Team Formations, click Add.
2. Select the session, a location, a head coach, a team name, and a category (Boys or Girls).
3. Submit.</t>
  </si>
  <si>
    <t xml:space="preserve">Formation is created and appears under the session.</t>
  </si>
  <si>
    <t xml:space="preserve">Record added successfully</t>
  </si>
  <si>
    <t xml:space="preserve">16-08-2026</t>
  </si>
  <si>
    <t xml:space="preserve">TC-016</t>
  </si>
  <si>
    <t xml:space="preserve">Accept a second same-category formation in the same session</t>
  </si>
  <si>
    <t xml:space="preserve">The session from TC-015 has one Boys formation.</t>
  </si>
  <si>
    <t xml:space="preserve">1. Add a second formation to the same session.
2. Set Category = Boys (same as the first).
3. Submit.</t>
  </si>
  <si>
    <t xml:space="preserve">Formation is created successfully — two same-category formations are allowed.</t>
  </si>
  <si>
    <t xml:space="preserve">TC-017</t>
  </si>
  <si>
    <t xml:space="preserve">Reject a different-category formation in the same session</t>
  </si>
  <si>
    <t xml:space="preserve">1. Add a second formation to the same session.
2. Set Category = Girls (different from the first).
3. Submit.</t>
  </si>
  <si>
    <t xml:space="preserve">Rejected: both team formations in a session must be the same category (Boys or Girls). Regression check — this was previously a known gap.</t>
  </si>
  <si>
    <t xml:space="preserve">Both team formations in a session must be the same category (Boys or Girls).
</t>
  </si>
  <si>
    <t xml:space="preserve">TC-018</t>
  </si>
  <si>
    <t xml:space="preserve">Reject a third formation in the same session</t>
  </si>
  <si>
    <t xml:space="preserve">The session from TC-016 already has two formations.</t>
  </si>
  <si>
    <t xml:space="preserve">1. Attempt to add a third formation to the same session.
2. Submit.</t>
  </si>
  <si>
    <t xml:space="preserve">Rejected: a session can contain exactly two team formations.</t>
  </si>
  <si>
    <t xml:space="preserve">A session can contain exactly two team formations; a third formation is not allowed.
</t>
  </si>
  <si>
    <t xml:space="preserve">TC-019</t>
  </si>
  <si>
    <t xml:space="preserve">Formation Assignment (Roster)</t>
  </si>
  <si>
    <t xml:space="preserve">Reject assigning a member from a different location</t>
  </si>
  <si>
    <t xml:space="preserve">trg_team_formation_assignment_before_insert</t>
  </si>
  <si>
    <t xml:space="preserve">A formation exists at Location A; a Club Member is registered at Location B.</t>
  </si>
  <si>
    <t xml:space="preserve">1. Open the formation's roster.
2. Add the Location-B member with any role.
3. Save.</t>
  </si>
  <si>
    <t xml:space="preserve">Rejected: club member location does not match the team formation location.</t>
  </si>
  <si>
    <t xml:space="preserve">Club member location does not match the team formation location.
</t>
  </si>
  <si>
    <t xml:space="preserve">TC-020</t>
  </si>
  <si>
    <t xml:space="preserve">Reject assigning a member of the wrong gender</t>
  </si>
  <si>
    <t xml:space="preserve">A Boys-category formation exists; a Female club member is registered at that formation's location.</t>
  </si>
  <si>
    <t xml:space="preserve">1. Open the formation's roster.
2. Add the Female member.
3. Save.</t>
  </si>
  <si>
    <t xml:space="preserve">Rejected: club member gender does not match the team formation category.</t>
  </si>
  <si>
    <t xml:space="preserve">Club member gender does not match the team formation category.
</t>
  </si>
  <si>
    <t xml:space="preserve">TC-021</t>
  </si>
  <si>
    <t xml:space="preserve">Reject a same-day assignment under 3 hours apart</t>
  </si>
  <si>
    <t xml:space="preserve">A member is already assigned to Session A on a given day. Session B exists the same day, starting less than 3 hours from Session A.</t>
  </si>
  <si>
    <t xml:space="preserve">1. Open Session B's formation roster.
2. Add the same member.
3. Save.</t>
  </si>
  <si>
    <t xml:space="preserve">Rejected: conflicting assignment — same-day formations must be at least 3 hours apart.</t>
  </si>
  <si>
    <t xml:space="preserve">Cannot assign a club member to 2 formations which are less than 3 hours apart on the same day</t>
  </si>
  <si>
    <t xml:space="preserve">Lucas</t>
  </si>
  <si>
    <t xml:space="preserve">TC-022</t>
  </si>
  <si>
    <t xml:space="preserve">Accept a same-day assignment at least 3 hours apart</t>
  </si>
  <si>
    <t xml:space="preserve">Same setup as TC-021, but Session B starts 3+ hours after Session A.</t>
  </si>
  <si>
    <t xml:space="preserve">Assignment succeeds — no conflict error.</t>
  </si>
  <si>
    <t xml:space="preserve">Can assign a club member to 2 formations on the same day which are more than 3 hours apart</t>
  </si>
  <si>
    <t xml:space="preserve">TC-023</t>
  </si>
  <si>
    <t xml:space="preserve">Reject assigning a minor with no active family relation</t>
  </si>
  <si>
    <t xml:space="preserve">A minor Club Member exists with zero active family relations.</t>
  </si>
  <si>
    <t xml:space="preserve">1. Open a matching formation's roster.
2. Add the minor.
3. Save.</t>
  </si>
  <si>
    <t xml:space="preserve">Rejected: minor club member must have a family member relationship active on the session date.</t>
  </si>
  <si>
    <t xml:space="preserve">Cannot add a minor club member without a linked family member</t>
  </si>
  <si>
    <t xml:space="preserve">TC-024</t>
  </si>
  <si>
    <t xml:space="preserve">Reject assigning a member with unpaid fees</t>
  </si>
  <si>
    <t xml:space="preserve">A Club Member has $0 payments recorded for the session's year.</t>
  </si>
  <si>
    <t xml:space="preserve">1. Open a matching formation's roster.
2. Add the unpaid member.
3. Save.</t>
  </si>
  <si>
    <t xml:space="preserve">Rejected: club member is not eligible — membership fee for the session year is not fully paid.</t>
  </si>
  <si>
    <t xml:space="preserve">Club member is not added to formation when yearly fees are unpaid</t>
  </si>
  <si>
    <t xml:space="preserve">TC-025</t>
  </si>
  <si>
    <t xml:space="preserve">Accept assigning a paid-up, eligible member</t>
  </si>
  <si>
    <t xml:space="preserve">A Club Member has fully paid the required fee for the session's year, correct location/gender, no conflicts.</t>
  </si>
  <si>
    <t xml:space="preserve">1. Open a matching formation's roster.
2. Add the member with a valid role.
3. Save.</t>
  </si>
  <si>
    <t xml:space="preserve">Assignment succeeds and the member appears on the roster.</t>
  </si>
  <si>
    <t xml:space="preserve">Club member is added to formation when the yearly fees are paid</t>
  </si>
  <si>
    <t xml:space="preserve">TC-026</t>
  </si>
  <si>
    <t xml:space="preserve">FIFA Participation</t>
  </si>
  <si>
    <t xml:space="preserve">Reject logging an unpaid member as a FIFA participant</t>
  </si>
  <si>
    <t xml:space="preserve">trg_fifa_participation_before_insert</t>
  </si>
  <si>
    <t xml:space="preserve">A Club Member has $0 payments recorded for the game's year.</t>
  </si>
  <si>
    <t xml:space="preserve">1. Open the FIFA Game.
2. Add the unpaid member as a participant.
3. Save.</t>
  </si>
  <si>
    <t xml:space="preserve">Rejected: club member is not eligible — membership fee for the game year is not fully paid.</t>
  </si>
  <si>
    <t xml:space="preserve">TC-027</t>
  </si>
  <si>
    <t xml:space="preserve">Reject logging a minor with no active family relation</t>
  </si>
  <si>
    <t xml:space="preserve">1. Open the FIFA Game.
2. Add the minor as a participant.
3. Save.</t>
  </si>
  <si>
    <t xml:space="preserve">Rejected: minor club member must have a family member relationship active on the game date.</t>
  </si>
  <si>
    <t xml:space="preserve">TC-028</t>
  </si>
  <si>
    <t xml:space="preserve">Accept logging a paid-up, eligible member</t>
  </si>
  <si>
    <t xml:space="preserve">A Club Member has fully paid the required fee for the game's year (and an active family relation, if a minor).</t>
  </si>
  <si>
    <t xml:space="preserve">1. Open the FIFA Game.
2. Add the eligible member as a participant.
3. Save.</t>
  </si>
  <si>
    <t xml:space="preserve">Participant is added successfully.</t>
  </si>
  <si>
    <t xml:space="preserve">Test Run Summary</t>
  </si>
  <si>
    <t xml:space="preserve">Total</t>
  </si>
  <si>
    <t xml:space="preserve">Failed</t>
  </si>
  <si>
    <t xml:space="preserve">Not Run</t>
  </si>
  <si>
    <t xml:space="preserve">TOTAL</t>
  </si>
  <si>
    <t xml:space="preserve">Pass rate (of executed tests)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</si>
</sst>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  <font>
      <b val="true"/>
      <sz val="12"/>
      <color rgb="FF1F3864"/>
      <name val="Arial"/>
      <family val="2"/>
      <charset val="1"/>
    </font>
    <font>
      <i val="true"/>
      <sz val="10"/>
      <name val="Arial"/>
      <family val="2"/>
      <charset val="1"/>
    </font>
    <font>
      <i val="true"/>
      <sz val="10"/>
      <color rgb="FF66666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FF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F6FA"/>
        <bgColor rgb="FFFFFFFF"/>
      </patternFill>
    </fill>
    <fill>
      <patternFill patternType="solid">
        <fgColor rgb="FFFFF2CC"/>
        <bgColor rgb="FFF4F6FA"/>
      </patternFill>
    </fill>
    <fill>
      <patternFill patternType="solid">
        <fgColor rgb="FFE7ECF5"/>
        <bgColor rgb="FFF4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C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9.5" hidden="false" customHeight="fals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3.85" hidden="false" customHeight="false" outlineLevel="0" collapsed="false">
      <c r="A8" s="2" t="s">
        <v>11</v>
      </c>
      <c r="B8" s="3" t="s">
        <v>12</v>
      </c>
    </row>
    <row r="10" customFormat="false" ht="15" hidden="false" customHeight="false" outlineLevel="0" collapsed="false">
      <c r="A10" s="4" t="s">
        <v>13</v>
      </c>
    </row>
    <row r="11" customFormat="false" ht="23.85" hidden="false" customHeight="false" outlineLevel="0" collapsed="false">
      <c r="A11" s="5" t="s">
        <v>14</v>
      </c>
      <c r="B11" s="3" t="s">
        <v>15</v>
      </c>
    </row>
    <row r="12" customFormat="false" ht="23.85" hidden="false" customHeight="false" outlineLevel="0" collapsed="false">
      <c r="A12" s="5" t="s">
        <v>16</v>
      </c>
      <c r="B12" s="3" t="s">
        <v>17</v>
      </c>
    </row>
    <row r="13" customFormat="false" ht="15" hidden="false" customHeight="false" outlineLevel="0" collapsed="false">
      <c r="A13" s="5" t="s">
        <v>18</v>
      </c>
      <c r="B13" s="3" t="s">
        <v>19</v>
      </c>
    </row>
    <row r="14" customFormat="false" ht="15" hidden="false" customHeight="false" outlineLevel="0" collapsed="false">
      <c r="A14" s="5" t="s">
        <v>20</v>
      </c>
      <c r="B14" s="3" t="s">
        <v>21</v>
      </c>
    </row>
    <row r="15" customFormat="false" ht="23.85" hidden="false" customHeight="false" outlineLevel="0" collapsed="false">
      <c r="A15" s="5" t="s">
        <v>22</v>
      </c>
      <c r="B15" s="3" t="s">
        <v>23</v>
      </c>
    </row>
    <row r="16" customFormat="false" ht="15" hidden="false" customHeight="false" outlineLevel="0" collapsed="false">
      <c r="A16" s="5" t="s">
        <v>24</v>
      </c>
      <c r="B16" s="3" t="s">
        <v>25</v>
      </c>
    </row>
    <row r="17" customFormat="false" ht="23.85" hidden="false" customHeight="false" outlineLevel="0" collapsed="false">
      <c r="A17" s="5" t="s">
        <v>26</v>
      </c>
      <c r="B17" s="3" t="s">
        <v>27</v>
      </c>
    </row>
    <row r="19" customFormat="false" ht="15" hidden="false" customHeight="false" outlineLevel="0" collapsed="false">
      <c r="A19" s="4" t="s">
        <v>28</v>
      </c>
    </row>
    <row r="20" customFormat="false" ht="48" hidden="false" customHeight="true" outlineLevel="0" collapsed="false">
      <c r="A20" s="6" t="s">
        <v>29</v>
      </c>
      <c r="B20" s="6"/>
    </row>
  </sheetData>
  <mergeCells count="2">
    <mergeCell ref="A1:B1"/>
    <mergeCell ref="A20:B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H11" activePane="bottomRight" state="frozen"/>
      <selection pane="topLeft" activeCell="A1" activeCellId="0" sqref="A1"/>
      <selection pane="topRight" activeCell="H1" activeCellId="0" sqref="H1"/>
      <selection pane="bottomLeft" activeCell="A11" activeCellId="0" sqref="A11"/>
      <selection pane="bottomRight" activeCell="M24" activeCellId="0" sqref="M24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26"/>
    <col collapsed="false" customWidth="true" hidden="false" outlineLevel="0" max="9" min="8" style="0" width="40"/>
    <col collapsed="false" customWidth="true" hidden="false" outlineLevel="0" max="10" min="10" style="0" width="12"/>
    <col collapsed="false" customWidth="true" hidden="false" outlineLevel="0" max="11" min="11" style="0" width="29.51"/>
    <col collapsed="false" customWidth="true" hidden="false" outlineLevel="0" max="12" min="12" style="0" width="1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</row>
    <row r="2" customFormat="false" ht="60" hidden="false" customHeight="true" outlineLevel="0" collapsed="false">
      <c r="A2" s="8" t="s">
        <v>43</v>
      </c>
      <c r="B2" s="8" t="s">
        <v>44</v>
      </c>
      <c r="C2" s="8" t="s">
        <v>45</v>
      </c>
      <c r="D2" s="8" t="n">
        <v>1</v>
      </c>
      <c r="E2" s="8" t="s">
        <v>46</v>
      </c>
      <c r="F2" s="8" t="s">
        <v>47</v>
      </c>
      <c r="G2" s="9" t="s">
        <v>48</v>
      </c>
      <c r="H2" s="9" t="s">
        <v>49</v>
      </c>
      <c r="I2" s="9" t="s">
        <v>50</v>
      </c>
      <c r="J2" s="10" t="s">
        <v>51</v>
      </c>
      <c r="K2" s="10" t="s">
        <v>52</v>
      </c>
      <c r="L2" s="10" t="s">
        <v>53</v>
      </c>
      <c r="M2" s="10" t="s">
        <v>54</v>
      </c>
    </row>
    <row r="3" customFormat="false" ht="60" hidden="false" customHeight="true" outlineLevel="0" collapsed="false">
      <c r="A3" s="11" t="s">
        <v>55</v>
      </c>
      <c r="B3" s="11" t="s">
        <v>44</v>
      </c>
      <c r="C3" s="11" t="s">
        <v>56</v>
      </c>
      <c r="D3" s="11" t="n">
        <v>2</v>
      </c>
      <c r="E3" s="11" t="s">
        <v>57</v>
      </c>
      <c r="F3" s="11" t="s">
        <v>47</v>
      </c>
      <c r="G3" s="12" t="s">
        <v>58</v>
      </c>
      <c r="H3" s="12" t="s">
        <v>59</v>
      </c>
      <c r="I3" s="12" t="s">
        <v>60</v>
      </c>
      <c r="J3" s="10" t="s">
        <v>51</v>
      </c>
      <c r="K3" s="10" t="s">
        <v>61</v>
      </c>
      <c r="L3" s="10" t="s">
        <v>53</v>
      </c>
      <c r="M3" s="10" t="s">
        <v>54</v>
      </c>
    </row>
    <row r="4" customFormat="false" ht="60" hidden="false" customHeight="true" outlineLevel="0" collapsed="false">
      <c r="A4" s="8" t="s">
        <v>62</v>
      </c>
      <c r="B4" s="8" t="s">
        <v>44</v>
      </c>
      <c r="C4" s="8" t="s">
        <v>63</v>
      </c>
      <c r="D4" s="8" t="n">
        <v>2</v>
      </c>
      <c r="E4" s="8" t="s">
        <v>46</v>
      </c>
      <c r="F4" s="8" t="s">
        <v>64</v>
      </c>
      <c r="G4" s="9" t="s">
        <v>65</v>
      </c>
      <c r="H4" s="9" t="s">
        <v>66</v>
      </c>
      <c r="I4" s="9" t="s">
        <v>67</v>
      </c>
      <c r="J4" s="10" t="s">
        <v>51</v>
      </c>
      <c r="K4" s="10" t="s">
        <v>68</v>
      </c>
      <c r="L4" s="10" t="s">
        <v>53</v>
      </c>
      <c r="M4" s="10" t="s">
        <v>54</v>
      </c>
    </row>
    <row r="5" customFormat="false" ht="91" hidden="false" customHeight="false" outlineLevel="0" collapsed="false">
      <c r="A5" s="11" t="s">
        <v>69</v>
      </c>
      <c r="B5" s="11" t="s">
        <v>70</v>
      </c>
      <c r="C5" s="11" t="s">
        <v>71</v>
      </c>
      <c r="D5" s="11" t="n">
        <v>1</v>
      </c>
      <c r="E5" s="11" t="s">
        <v>46</v>
      </c>
      <c r="F5" s="11" t="s">
        <v>72</v>
      </c>
      <c r="G5" s="12" t="s">
        <v>73</v>
      </c>
      <c r="H5" s="12" t="s">
        <v>74</v>
      </c>
      <c r="I5" s="12" t="s">
        <v>75</v>
      </c>
      <c r="J5" s="10" t="s">
        <v>76</v>
      </c>
      <c r="K5" s="10" t="s">
        <v>77</v>
      </c>
      <c r="L5" s="10"/>
      <c r="M5" s="10"/>
    </row>
    <row r="6" customFormat="false" ht="60" hidden="false" customHeight="true" outlineLevel="0" collapsed="false">
      <c r="A6" s="8" t="s">
        <v>78</v>
      </c>
      <c r="B6" s="8" t="s">
        <v>70</v>
      </c>
      <c r="C6" s="8" t="s">
        <v>79</v>
      </c>
      <c r="D6" s="8" t="n">
        <v>2</v>
      </c>
      <c r="E6" s="8" t="s">
        <v>57</v>
      </c>
      <c r="F6" s="8" t="s">
        <v>72</v>
      </c>
      <c r="G6" s="9" t="s">
        <v>80</v>
      </c>
      <c r="H6" s="9" t="s">
        <v>81</v>
      </c>
      <c r="I6" s="9" t="s">
        <v>82</v>
      </c>
      <c r="J6" s="10" t="s">
        <v>76</v>
      </c>
      <c r="K6" s="10" t="s">
        <v>83</v>
      </c>
      <c r="L6" s="10"/>
      <c r="M6" s="10"/>
    </row>
    <row r="7" customFormat="false" ht="60" hidden="false" customHeight="true" outlineLevel="0" collapsed="false">
      <c r="A7" s="11" t="s">
        <v>84</v>
      </c>
      <c r="B7" s="11" t="s">
        <v>85</v>
      </c>
      <c r="C7" s="11" t="s">
        <v>86</v>
      </c>
      <c r="D7" s="11" t="n">
        <v>1</v>
      </c>
      <c r="E7" s="11" t="s">
        <v>46</v>
      </c>
      <c r="F7" s="11" t="s">
        <v>87</v>
      </c>
      <c r="G7" s="12" t="s">
        <v>88</v>
      </c>
      <c r="H7" s="12" t="s">
        <v>89</v>
      </c>
      <c r="I7" s="12" t="s">
        <v>90</v>
      </c>
      <c r="J7" s="10" t="s">
        <v>76</v>
      </c>
      <c r="K7" s="10" t="s">
        <v>91</v>
      </c>
      <c r="L7" s="10"/>
      <c r="M7" s="10"/>
    </row>
    <row r="8" customFormat="false" ht="60" hidden="false" customHeight="true" outlineLevel="0" collapsed="false">
      <c r="A8" s="8" t="s">
        <v>92</v>
      </c>
      <c r="B8" s="8" t="s">
        <v>85</v>
      </c>
      <c r="C8" s="8" t="s">
        <v>93</v>
      </c>
      <c r="D8" s="8" t="n">
        <v>2</v>
      </c>
      <c r="E8" s="8" t="s">
        <v>57</v>
      </c>
      <c r="F8" s="8" t="s">
        <v>87</v>
      </c>
      <c r="G8" s="9" t="s">
        <v>94</v>
      </c>
      <c r="H8" s="9" t="s">
        <v>95</v>
      </c>
      <c r="I8" s="9" t="s">
        <v>96</v>
      </c>
      <c r="J8" s="10" t="s">
        <v>76</v>
      </c>
      <c r="K8" s="10" t="s">
        <v>83</v>
      </c>
      <c r="L8" s="10"/>
      <c r="M8" s="10"/>
    </row>
    <row r="9" customFormat="false" ht="60" hidden="false" customHeight="true" outlineLevel="0" collapsed="false">
      <c r="A9" s="11" t="s">
        <v>97</v>
      </c>
      <c r="B9" s="11" t="s">
        <v>85</v>
      </c>
      <c r="C9" s="11" t="s">
        <v>98</v>
      </c>
      <c r="D9" s="11" t="n">
        <v>1</v>
      </c>
      <c r="E9" s="11" t="s">
        <v>46</v>
      </c>
      <c r="F9" s="11" t="s">
        <v>99</v>
      </c>
      <c r="G9" s="12" t="s">
        <v>100</v>
      </c>
      <c r="H9" s="12" t="s">
        <v>101</v>
      </c>
      <c r="I9" s="12" t="s">
        <v>102</v>
      </c>
      <c r="J9" s="10" t="s">
        <v>51</v>
      </c>
      <c r="K9" s="10" t="s">
        <v>103</v>
      </c>
      <c r="L9" s="10" t="s">
        <v>53</v>
      </c>
      <c r="M9" s="10" t="s">
        <v>54</v>
      </c>
    </row>
    <row r="10" customFormat="false" ht="60" hidden="false" customHeight="true" outlineLevel="0" collapsed="false">
      <c r="A10" s="8" t="s">
        <v>104</v>
      </c>
      <c r="B10" s="8" t="s">
        <v>85</v>
      </c>
      <c r="C10" s="8" t="s">
        <v>105</v>
      </c>
      <c r="D10" s="8" t="n">
        <v>3</v>
      </c>
      <c r="E10" s="8" t="s">
        <v>57</v>
      </c>
      <c r="F10" s="8" t="s">
        <v>99</v>
      </c>
      <c r="G10" s="9" t="s">
        <v>106</v>
      </c>
      <c r="H10" s="9" t="s">
        <v>107</v>
      </c>
      <c r="I10" s="9" t="s">
        <v>108</v>
      </c>
      <c r="J10" s="10" t="s">
        <v>51</v>
      </c>
      <c r="K10" s="10" t="s">
        <v>109</v>
      </c>
      <c r="L10" s="10" t="s">
        <v>53</v>
      </c>
      <c r="M10" s="10" t="s">
        <v>54</v>
      </c>
    </row>
    <row r="11" customFormat="false" ht="60" hidden="false" customHeight="true" outlineLevel="0" collapsed="false">
      <c r="A11" s="11" t="s">
        <v>110</v>
      </c>
      <c r="B11" s="11" t="s">
        <v>85</v>
      </c>
      <c r="C11" s="11" t="s">
        <v>111</v>
      </c>
      <c r="D11" s="11" t="n">
        <v>2</v>
      </c>
      <c r="E11" s="11" t="s">
        <v>46</v>
      </c>
      <c r="F11" s="11" t="s">
        <v>112</v>
      </c>
      <c r="G11" s="12" t="s">
        <v>100</v>
      </c>
      <c r="H11" s="12" t="s">
        <v>113</v>
      </c>
      <c r="I11" s="12" t="s">
        <v>114</v>
      </c>
      <c r="J11" s="10" t="s">
        <v>51</v>
      </c>
      <c r="K11" s="10" t="s">
        <v>115</v>
      </c>
      <c r="L11" s="10" t="s">
        <v>53</v>
      </c>
      <c r="M11" s="10" t="s">
        <v>54</v>
      </c>
    </row>
    <row r="12" customFormat="false" ht="60" hidden="false" customHeight="true" outlineLevel="0" collapsed="false">
      <c r="A12" s="8" t="s">
        <v>116</v>
      </c>
      <c r="B12" s="8" t="s">
        <v>117</v>
      </c>
      <c r="C12" s="8" t="s">
        <v>118</v>
      </c>
      <c r="D12" s="8" t="n">
        <v>1</v>
      </c>
      <c r="E12" s="8" t="s">
        <v>46</v>
      </c>
      <c r="F12" s="8" t="s">
        <v>119</v>
      </c>
      <c r="G12" s="9" t="s">
        <v>58</v>
      </c>
      <c r="H12" s="9" t="s">
        <v>120</v>
      </c>
      <c r="I12" s="9" t="s">
        <v>121</v>
      </c>
      <c r="J12" s="10" t="s">
        <v>51</v>
      </c>
      <c r="K12" s="10" t="s">
        <v>122</v>
      </c>
      <c r="L12" s="10" t="s">
        <v>53</v>
      </c>
      <c r="M12" s="10" t="s">
        <v>54</v>
      </c>
    </row>
    <row r="13" customFormat="false" ht="60" hidden="false" customHeight="true" outlineLevel="0" collapsed="false">
      <c r="A13" s="11" t="s">
        <v>123</v>
      </c>
      <c r="B13" s="11" t="s">
        <v>117</v>
      </c>
      <c r="C13" s="11" t="s">
        <v>124</v>
      </c>
      <c r="D13" s="11" t="n">
        <v>1</v>
      </c>
      <c r="E13" s="11" t="s">
        <v>46</v>
      </c>
      <c r="F13" s="11" t="s">
        <v>119</v>
      </c>
      <c r="G13" s="12" t="s">
        <v>125</v>
      </c>
      <c r="H13" s="12" t="s">
        <v>126</v>
      </c>
      <c r="I13" s="12" t="s">
        <v>127</v>
      </c>
      <c r="J13" s="10" t="s">
        <v>51</v>
      </c>
      <c r="K13" s="10" t="s">
        <v>128</v>
      </c>
      <c r="L13" s="10" t="s">
        <v>53</v>
      </c>
      <c r="M13" s="10" t="s">
        <v>54</v>
      </c>
    </row>
    <row r="14" customFormat="false" ht="60" hidden="false" customHeight="true" outlineLevel="0" collapsed="false">
      <c r="A14" s="8" t="s">
        <v>129</v>
      </c>
      <c r="B14" s="8" t="s">
        <v>117</v>
      </c>
      <c r="C14" s="8" t="s">
        <v>130</v>
      </c>
      <c r="D14" s="8" t="n">
        <v>2</v>
      </c>
      <c r="E14" s="8" t="s">
        <v>57</v>
      </c>
      <c r="F14" s="8" t="s">
        <v>119</v>
      </c>
      <c r="G14" s="9" t="s">
        <v>131</v>
      </c>
      <c r="H14" s="9" t="s">
        <v>132</v>
      </c>
      <c r="I14" s="9" t="s">
        <v>133</v>
      </c>
      <c r="J14" s="10" t="s">
        <v>51</v>
      </c>
      <c r="K14" s="10" t="s">
        <v>134</v>
      </c>
      <c r="L14" s="10" t="s">
        <v>53</v>
      </c>
      <c r="M14" s="10" t="s">
        <v>54</v>
      </c>
    </row>
    <row r="15" customFormat="false" ht="60" hidden="false" customHeight="true" outlineLevel="0" collapsed="false">
      <c r="A15" s="11" t="s">
        <v>135</v>
      </c>
      <c r="B15" s="11" t="s">
        <v>117</v>
      </c>
      <c r="C15" s="11" t="s">
        <v>136</v>
      </c>
      <c r="D15" s="11" t="n">
        <v>2</v>
      </c>
      <c r="E15" s="11" t="s">
        <v>46</v>
      </c>
      <c r="F15" s="11" t="s">
        <v>137</v>
      </c>
      <c r="G15" s="12" t="s">
        <v>138</v>
      </c>
      <c r="H15" s="12" t="s">
        <v>139</v>
      </c>
      <c r="I15" s="12" t="s">
        <v>140</v>
      </c>
      <c r="J15" s="10" t="s">
        <v>51</v>
      </c>
      <c r="K15" s="10" t="s">
        <v>134</v>
      </c>
      <c r="L15" s="10" t="s">
        <v>53</v>
      </c>
      <c r="M15" s="10" t="s">
        <v>54</v>
      </c>
    </row>
    <row r="16" customFormat="false" ht="60" hidden="false" customHeight="true" outlineLevel="0" collapsed="false">
      <c r="A16" s="8" t="s">
        <v>141</v>
      </c>
      <c r="B16" s="8" t="s">
        <v>142</v>
      </c>
      <c r="C16" s="8" t="s">
        <v>143</v>
      </c>
      <c r="D16" s="8" t="n">
        <v>2</v>
      </c>
      <c r="E16" s="8" t="s">
        <v>57</v>
      </c>
      <c r="F16" s="8" t="s">
        <v>144</v>
      </c>
      <c r="G16" s="9" t="s">
        <v>145</v>
      </c>
      <c r="H16" s="9" t="s">
        <v>146</v>
      </c>
      <c r="I16" s="9" t="s">
        <v>147</v>
      </c>
      <c r="J16" s="10" t="s">
        <v>51</v>
      </c>
      <c r="K16" s="10" t="s">
        <v>148</v>
      </c>
      <c r="L16" s="10" t="s">
        <v>53</v>
      </c>
      <c r="M16" s="10" t="s">
        <v>149</v>
      </c>
    </row>
    <row r="17" customFormat="false" ht="60" hidden="false" customHeight="true" outlineLevel="0" collapsed="false">
      <c r="A17" s="11" t="s">
        <v>150</v>
      </c>
      <c r="B17" s="11" t="s">
        <v>142</v>
      </c>
      <c r="C17" s="11" t="s">
        <v>151</v>
      </c>
      <c r="D17" s="11" t="n">
        <v>1</v>
      </c>
      <c r="E17" s="11" t="s">
        <v>57</v>
      </c>
      <c r="F17" s="11" t="s">
        <v>144</v>
      </c>
      <c r="G17" s="12" t="s">
        <v>152</v>
      </c>
      <c r="H17" s="12" t="s">
        <v>153</v>
      </c>
      <c r="I17" s="12" t="s">
        <v>154</v>
      </c>
      <c r="J17" s="10" t="s">
        <v>51</v>
      </c>
      <c r="K17" s="10" t="s">
        <v>148</v>
      </c>
      <c r="L17" s="10" t="s">
        <v>53</v>
      </c>
      <c r="M17" s="10" t="s">
        <v>149</v>
      </c>
    </row>
    <row r="18" customFormat="false" ht="60" hidden="false" customHeight="true" outlineLevel="0" collapsed="false">
      <c r="A18" s="8" t="s">
        <v>155</v>
      </c>
      <c r="B18" s="8" t="s">
        <v>142</v>
      </c>
      <c r="C18" s="8" t="s">
        <v>156</v>
      </c>
      <c r="D18" s="8" t="n">
        <v>1</v>
      </c>
      <c r="E18" s="8" t="s">
        <v>46</v>
      </c>
      <c r="F18" s="8" t="s">
        <v>144</v>
      </c>
      <c r="G18" s="9" t="s">
        <v>152</v>
      </c>
      <c r="H18" s="9" t="s">
        <v>157</v>
      </c>
      <c r="I18" s="9" t="s">
        <v>158</v>
      </c>
      <c r="J18" s="10" t="s">
        <v>51</v>
      </c>
      <c r="K18" s="10" t="s">
        <v>159</v>
      </c>
      <c r="L18" s="10" t="s">
        <v>53</v>
      </c>
      <c r="M18" s="10" t="s">
        <v>149</v>
      </c>
    </row>
    <row r="19" customFormat="false" ht="60" hidden="false" customHeight="true" outlineLevel="0" collapsed="false">
      <c r="A19" s="11" t="s">
        <v>160</v>
      </c>
      <c r="B19" s="11" t="s">
        <v>142</v>
      </c>
      <c r="C19" s="11" t="s">
        <v>161</v>
      </c>
      <c r="D19" s="11" t="n">
        <v>1</v>
      </c>
      <c r="E19" s="11" t="s">
        <v>46</v>
      </c>
      <c r="F19" s="11" t="s">
        <v>144</v>
      </c>
      <c r="G19" s="12" t="s">
        <v>162</v>
      </c>
      <c r="H19" s="12" t="s">
        <v>163</v>
      </c>
      <c r="I19" s="12" t="s">
        <v>164</v>
      </c>
      <c r="J19" s="10" t="s">
        <v>51</v>
      </c>
      <c r="K19" s="10" t="s">
        <v>165</v>
      </c>
      <c r="L19" s="10" t="s">
        <v>53</v>
      </c>
      <c r="M19" s="10" t="s">
        <v>149</v>
      </c>
    </row>
    <row r="20" customFormat="false" ht="60" hidden="false" customHeight="true" outlineLevel="0" collapsed="false">
      <c r="A20" s="8" t="s">
        <v>166</v>
      </c>
      <c r="B20" s="8" t="s">
        <v>167</v>
      </c>
      <c r="C20" s="8" t="s">
        <v>168</v>
      </c>
      <c r="D20" s="8" t="n">
        <v>1</v>
      </c>
      <c r="E20" s="8" t="s">
        <v>46</v>
      </c>
      <c r="F20" s="8" t="s">
        <v>169</v>
      </c>
      <c r="G20" s="9" t="s">
        <v>170</v>
      </c>
      <c r="H20" s="9" t="s">
        <v>171</v>
      </c>
      <c r="I20" s="9" t="s">
        <v>172</v>
      </c>
      <c r="J20" s="10" t="s">
        <v>51</v>
      </c>
      <c r="K20" s="10" t="s">
        <v>173</v>
      </c>
      <c r="L20" s="10" t="s">
        <v>53</v>
      </c>
      <c r="M20" s="10" t="s">
        <v>149</v>
      </c>
    </row>
    <row r="21" customFormat="false" ht="60" hidden="false" customHeight="true" outlineLevel="0" collapsed="false">
      <c r="A21" s="11" t="s">
        <v>174</v>
      </c>
      <c r="B21" s="11" t="s">
        <v>167</v>
      </c>
      <c r="C21" s="11" t="s">
        <v>175</v>
      </c>
      <c r="D21" s="11" t="n">
        <v>1</v>
      </c>
      <c r="E21" s="11" t="s">
        <v>46</v>
      </c>
      <c r="F21" s="11" t="s">
        <v>169</v>
      </c>
      <c r="G21" s="12" t="s">
        <v>176</v>
      </c>
      <c r="H21" s="12" t="s">
        <v>177</v>
      </c>
      <c r="I21" s="12" t="s">
        <v>178</v>
      </c>
      <c r="J21" s="10" t="s">
        <v>51</v>
      </c>
      <c r="K21" s="10" t="s">
        <v>179</v>
      </c>
      <c r="L21" s="10" t="s">
        <v>53</v>
      </c>
      <c r="M21" s="10" t="s">
        <v>149</v>
      </c>
    </row>
    <row r="22" customFormat="false" ht="57.45" hidden="false" customHeight="false" outlineLevel="0" collapsed="false">
      <c r="A22" s="8" t="s">
        <v>180</v>
      </c>
      <c r="B22" s="8" t="s">
        <v>167</v>
      </c>
      <c r="C22" s="8" t="s">
        <v>181</v>
      </c>
      <c r="D22" s="8" t="n">
        <v>1</v>
      </c>
      <c r="E22" s="8" t="s">
        <v>46</v>
      </c>
      <c r="F22" s="8" t="s">
        <v>169</v>
      </c>
      <c r="G22" s="9" t="s">
        <v>182</v>
      </c>
      <c r="H22" s="9" t="s">
        <v>183</v>
      </c>
      <c r="I22" s="9" t="s">
        <v>184</v>
      </c>
      <c r="J22" s="10" t="s">
        <v>51</v>
      </c>
      <c r="K22" s="10" t="s">
        <v>185</v>
      </c>
      <c r="L22" s="10" t="s">
        <v>186</v>
      </c>
      <c r="M22" s="10" t="s">
        <v>149</v>
      </c>
    </row>
    <row r="23" customFormat="false" ht="60" hidden="false" customHeight="true" outlineLevel="0" collapsed="false">
      <c r="A23" s="11" t="s">
        <v>187</v>
      </c>
      <c r="B23" s="11" t="s">
        <v>167</v>
      </c>
      <c r="C23" s="11" t="s">
        <v>188</v>
      </c>
      <c r="D23" s="11" t="n">
        <v>2</v>
      </c>
      <c r="E23" s="11" t="s">
        <v>57</v>
      </c>
      <c r="F23" s="11" t="s">
        <v>169</v>
      </c>
      <c r="G23" s="12" t="s">
        <v>189</v>
      </c>
      <c r="H23" s="12" t="s">
        <v>183</v>
      </c>
      <c r="I23" s="12" t="s">
        <v>190</v>
      </c>
      <c r="J23" s="10" t="s">
        <v>51</v>
      </c>
      <c r="K23" s="10" t="s">
        <v>191</v>
      </c>
      <c r="L23" s="10" t="s">
        <v>186</v>
      </c>
      <c r="M23" s="10" t="s">
        <v>149</v>
      </c>
    </row>
    <row r="24" customFormat="false" ht="60" hidden="false" customHeight="true" outlineLevel="0" collapsed="false">
      <c r="A24" s="8" t="s">
        <v>192</v>
      </c>
      <c r="B24" s="8" t="s">
        <v>167</v>
      </c>
      <c r="C24" s="8" t="s">
        <v>193</v>
      </c>
      <c r="D24" s="8" t="n">
        <v>2</v>
      </c>
      <c r="E24" s="8" t="s">
        <v>46</v>
      </c>
      <c r="F24" s="8" t="s">
        <v>169</v>
      </c>
      <c r="G24" s="9" t="s">
        <v>194</v>
      </c>
      <c r="H24" s="9" t="s">
        <v>195</v>
      </c>
      <c r="I24" s="9" t="s">
        <v>196</v>
      </c>
      <c r="J24" s="10" t="s">
        <v>51</v>
      </c>
      <c r="K24" s="10" t="s">
        <v>197</v>
      </c>
      <c r="L24" s="10" t="s">
        <v>186</v>
      </c>
      <c r="M24" s="10" t="s">
        <v>149</v>
      </c>
    </row>
    <row r="25" customFormat="false" ht="60" hidden="false" customHeight="true" outlineLevel="0" collapsed="false">
      <c r="A25" s="11" t="s">
        <v>198</v>
      </c>
      <c r="B25" s="11" t="s">
        <v>167</v>
      </c>
      <c r="C25" s="11" t="s">
        <v>199</v>
      </c>
      <c r="D25" s="11" t="n">
        <v>1</v>
      </c>
      <c r="E25" s="11" t="s">
        <v>46</v>
      </c>
      <c r="F25" s="11" t="s">
        <v>169</v>
      </c>
      <c r="G25" s="12" t="s">
        <v>200</v>
      </c>
      <c r="H25" s="12" t="s">
        <v>201</v>
      </c>
      <c r="I25" s="12" t="s">
        <v>202</v>
      </c>
      <c r="J25" s="10" t="s">
        <v>51</v>
      </c>
      <c r="K25" s="10" t="s">
        <v>203</v>
      </c>
      <c r="L25" s="10" t="s">
        <v>186</v>
      </c>
      <c r="M25" s="10" t="s">
        <v>149</v>
      </c>
    </row>
    <row r="26" customFormat="false" ht="60" hidden="false" customHeight="true" outlineLevel="0" collapsed="false">
      <c r="A26" s="8" t="s">
        <v>204</v>
      </c>
      <c r="B26" s="8" t="s">
        <v>167</v>
      </c>
      <c r="C26" s="8" t="s">
        <v>205</v>
      </c>
      <c r="D26" s="8" t="n">
        <v>2</v>
      </c>
      <c r="E26" s="8" t="s">
        <v>57</v>
      </c>
      <c r="F26" s="8" t="s">
        <v>169</v>
      </c>
      <c r="G26" s="9" t="s">
        <v>206</v>
      </c>
      <c r="H26" s="9" t="s">
        <v>207</v>
      </c>
      <c r="I26" s="9" t="s">
        <v>208</v>
      </c>
      <c r="J26" s="10" t="s">
        <v>51</v>
      </c>
      <c r="K26" s="10" t="s">
        <v>209</v>
      </c>
      <c r="L26" s="10" t="s">
        <v>186</v>
      </c>
      <c r="M26" s="10" t="s">
        <v>149</v>
      </c>
    </row>
    <row r="27" customFormat="false" ht="60" hidden="false" customHeight="true" outlineLevel="0" collapsed="false">
      <c r="A27" s="11" t="s">
        <v>210</v>
      </c>
      <c r="B27" s="11" t="s">
        <v>211</v>
      </c>
      <c r="C27" s="11" t="s">
        <v>212</v>
      </c>
      <c r="D27" s="11" t="n">
        <v>1</v>
      </c>
      <c r="E27" s="11" t="s">
        <v>46</v>
      </c>
      <c r="F27" s="11" t="s">
        <v>213</v>
      </c>
      <c r="G27" s="12" t="s">
        <v>214</v>
      </c>
      <c r="H27" s="12" t="s">
        <v>215</v>
      </c>
      <c r="I27" s="12" t="s">
        <v>216</v>
      </c>
      <c r="J27" s="10" t="s">
        <v>76</v>
      </c>
      <c r="K27" s="10"/>
      <c r="L27" s="10"/>
      <c r="M27" s="10"/>
    </row>
    <row r="28" customFormat="false" ht="60" hidden="false" customHeight="true" outlineLevel="0" collapsed="false">
      <c r="A28" s="8" t="s">
        <v>217</v>
      </c>
      <c r="B28" s="8" t="s">
        <v>211</v>
      </c>
      <c r="C28" s="8" t="s">
        <v>218</v>
      </c>
      <c r="D28" s="8" t="n">
        <v>2</v>
      </c>
      <c r="E28" s="8" t="s">
        <v>46</v>
      </c>
      <c r="F28" s="8" t="s">
        <v>213</v>
      </c>
      <c r="G28" s="9" t="s">
        <v>194</v>
      </c>
      <c r="H28" s="9" t="s">
        <v>219</v>
      </c>
      <c r="I28" s="9" t="s">
        <v>220</v>
      </c>
      <c r="J28" s="10" t="s">
        <v>76</v>
      </c>
      <c r="K28" s="10"/>
      <c r="L28" s="10"/>
      <c r="M28" s="10"/>
    </row>
    <row r="29" customFormat="false" ht="60" hidden="false" customHeight="true" outlineLevel="0" collapsed="false">
      <c r="A29" s="11" t="s">
        <v>221</v>
      </c>
      <c r="B29" s="11" t="s">
        <v>211</v>
      </c>
      <c r="C29" s="11" t="s">
        <v>222</v>
      </c>
      <c r="D29" s="11" t="n">
        <v>2</v>
      </c>
      <c r="E29" s="11" t="s">
        <v>57</v>
      </c>
      <c r="F29" s="11" t="s">
        <v>213</v>
      </c>
      <c r="G29" s="12" t="s">
        <v>223</v>
      </c>
      <c r="H29" s="12" t="s">
        <v>224</v>
      </c>
      <c r="I29" s="12" t="s">
        <v>225</v>
      </c>
      <c r="J29" s="10" t="s">
        <v>76</v>
      </c>
      <c r="K29" s="10"/>
      <c r="L29" s="10"/>
      <c r="M29" s="10"/>
    </row>
  </sheetData>
  <autoFilter ref="A1:M29"/>
  <conditionalFormatting sqref="J2:J29">
    <cfRule type="cellIs" priority="2" operator="equal" aboveAverage="0" equalAverage="0" bottom="0" percent="0" rank="0" text="" dxfId="7">
      <formula>"Passed"</formula>
    </cfRule>
    <cfRule type="cellIs" priority="3" operator="equal" aboveAverage="0" equalAverage="0" bottom="0" percent="0" rank="0" text="" dxfId="8">
      <formula>"Failed"</formula>
    </cfRule>
    <cfRule type="cellIs" priority="4" operator="equal" aboveAverage="0" equalAverage="0" bottom="0" percent="0" rank="0" text="" dxfId="9">
      <formula>"Blocked"</formula>
    </cfRule>
  </conditionalFormatting>
  <dataValidations count="1">
    <dataValidation allowBlank="true" errorStyle="stop" operator="between" showDropDown="false" showErrorMessage="false" showInputMessage="false" sqref="J2:J29" type="list">
      <formula1>"Not Run,Passed,Failed,Blocked"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4"/>
  </cols>
  <sheetData>
    <row r="1" customFormat="false" ht="19.5" hidden="false" customHeight="false" outlineLevel="0" collapsed="false">
      <c r="A1" s="1" t="s">
        <v>226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7" t="s">
        <v>31</v>
      </c>
      <c r="B3" s="7" t="s">
        <v>227</v>
      </c>
      <c r="C3" s="7" t="s">
        <v>51</v>
      </c>
      <c r="D3" s="7" t="s">
        <v>228</v>
      </c>
      <c r="E3" s="7" t="s">
        <v>76</v>
      </c>
      <c r="F3" s="7" t="s">
        <v>229</v>
      </c>
    </row>
    <row r="4" customFormat="false" ht="15" hidden="false" customHeight="false" outlineLevel="0" collapsed="false">
      <c r="A4" s="13" t="s">
        <v>44</v>
      </c>
      <c r="B4" s="14" t="n">
        <f aca="false">COUNTIF('Test Cases'!$B$2:$B$29,A4)</f>
        <v>3</v>
      </c>
      <c r="C4" s="14" t="n">
        <f aca="false">COUNTIFS('Test Cases'!$B$2:$B$29,A4,'Test Cases'!$J$2:$J$29,"Passed")</f>
        <v>3</v>
      </c>
      <c r="D4" s="14" t="n">
        <f aca="false">COUNTIFS('Test Cases'!$B$2:$B$29,A4,'Test Cases'!$J$2:$J$29,"Failed")</f>
        <v>0</v>
      </c>
      <c r="E4" s="14" t="n">
        <f aca="false">COUNTIFS('Test Cases'!$B$2:$B$29,A4,'Test Cases'!$J$2:$J$29,"Blocked")</f>
        <v>0</v>
      </c>
      <c r="F4" s="14" t="n">
        <f aca="false">COUNTIFS('Test Cases'!$B$2:$B$29,A4,'Test Cases'!$J$2:$J$29,"Not Run")</f>
        <v>0</v>
      </c>
    </row>
    <row r="5" customFormat="false" ht="15" hidden="false" customHeight="false" outlineLevel="0" collapsed="false">
      <c r="A5" s="13" t="s">
        <v>70</v>
      </c>
      <c r="B5" s="14" t="n">
        <f aca="false">COUNTIF('Test Cases'!$B$2:$B$29,A5)</f>
        <v>2</v>
      </c>
      <c r="C5" s="14" t="n">
        <f aca="false">COUNTIFS('Test Cases'!$B$2:$B$29,A5,'Test Cases'!$J$2:$J$29,"Passed")</f>
        <v>0</v>
      </c>
      <c r="D5" s="14" t="n">
        <f aca="false">COUNTIFS('Test Cases'!$B$2:$B$29,A5,'Test Cases'!$J$2:$J$29,"Failed")</f>
        <v>0</v>
      </c>
      <c r="E5" s="14" t="n">
        <f aca="false">COUNTIFS('Test Cases'!$B$2:$B$29,A5,'Test Cases'!$J$2:$J$29,"Blocked")</f>
        <v>2</v>
      </c>
      <c r="F5" s="14" t="n">
        <f aca="false">COUNTIFS('Test Cases'!$B$2:$B$29,A5,'Test Cases'!$J$2:$J$29,"Not Run")</f>
        <v>0</v>
      </c>
    </row>
    <row r="6" customFormat="false" ht="15" hidden="false" customHeight="false" outlineLevel="0" collapsed="false">
      <c r="A6" s="13" t="s">
        <v>85</v>
      </c>
      <c r="B6" s="14" t="n">
        <f aca="false">COUNTIF('Test Cases'!$B$2:$B$29,A6)</f>
        <v>5</v>
      </c>
      <c r="C6" s="14" t="n">
        <f aca="false">COUNTIFS('Test Cases'!$B$2:$B$29,A6,'Test Cases'!$J$2:$J$29,"Passed")</f>
        <v>3</v>
      </c>
      <c r="D6" s="14" t="n">
        <f aca="false">COUNTIFS('Test Cases'!$B$2:$B$29,A6,'Test Cases'!$J$2:$J$29,"Failed")</f>
        <v>0</v>
      </c>
      <c r="E6" s="14" t="n">
        <f aca="false">COUNTIFS('Test Cases'!$B$2:$B$29,A6,'Test Cases'!$J$2:$J$29,"Blocked")</f>
        <v>2</v>
      </c>
      <c r="F6" s="14" t="n">
        <f aca="false">COUNTIFS('Test Cases'!$B$2:$B$29,A6,'Test Cases'!$J$2:$J$29,"Not Run")</f>
        <v>0</v>
      </c>
    </row>
    <row r="7" customFormat="false" ht="15" hidden="false" customHeight="false" outlineLevel="0" collapsed="false">
      <c r="A7" s="13" t="s">
        <v>117</v>
      </c>
      <c r="B7" s="14" t="n">
        <f aca="false">COUNTIF('Test Cases'!$B$2:$B$29,A7)</f>
        <v>4</v>
      </c>
      <c r="C7" s="14" t="n">
        <f aca="false">COUNTIFS('Test Cases'!$B$2:$B$29,A7,'Test Cases'!$J$2:$J$29,"Passed")</f>
        <v>4</v>
      </c>
      <c r="D7" s="14" t="n">
        <f aca="false">COUNTIFS('Test Cases'!$B$2:$B$29,A7,'Test Cases'!$J$2:$J$29,"Failed")</f>
        <v>0</v>
      </c>
      <c r="E7" s="14" t="n">
        <f aca="false">COUNTIFS('Test Cases'!$B$2:$B$29,A7,'Test Cases'!$J$2:$J$29,"Blocked")</f>
        <v>0</v>
      </c>
      <c r="F7" s="14" t="n">
        <f aca="false">COUNTIFS('Test Cases'!$B$2:$B$29,A7,'Test Cases'!$J$2:$J$29,"Not Run")</f>
        <v>0</v>
      </c>
    </row>
    <row r="8" customFormat="false" ht="15" hidden="false" customHeight="false" outlineLevel="0" collapsed="false">
      <c r="A8" s="13" t="s">
        <v>142</v>
      </c>
      <c r="B8" s="14" t="n">
        <f aca="false">COUNTIF('Test Cases'!$B$2:$B$29,A8)</f>
        <v>4</v>
      </c>
      <c r="C8" s="14" t="n">
        <f aca="false">COUNTIFS('Test Cases'!$B$2:$B$29,A8,'Test Cases'!$J$2:$J$29,"Passed")</f>
        <v>4</v>
      </c>
      <c r="D8" s="14" t="n">
        <f aca="false">COUNTIFS('Test Cases'!$B$2:$B$29,A8,'Test Cases'!$J$2:$J$29,"Failed")</f>
        <v>0</v>
      </c>
      <c r="E8" s="14" t="n">
        <f aca="false">COUNTIFS('Test Cases'!$B$2:$B$29,A8,'Test Cases'!$J$2:$J$29,"Blocked")</f>
        <v>0</v>
      </c>
      <c r="F8" s="14" t="n">
        <f aca="false">COUNTIFS('Test Cases'!$B$2:$B$29,A8,'Test Cases'!$J$2:$J$29,"Not Run")</f>
        <v>0</v>
      </c>
    </row>
    <row r="9" customFormat="false" ht="15" hidden="false" customHeight="false" outlineLevel="0" collapsed="false">
      <c r="A9" s="13" t="s">
        <v>167</v>
      </c>
      <c r="B9" s="14" t="n">
        <f aca="false">COUNTIF('Test Cases'!$B$2:$B$29,A9)</f>
        <v>7</v>
      </c>
      <c r="C9" s="14" t="n">
        <f aca="false">COUNTIFS('Test Cases'!$B$2:$B$29,A9,'Test Cases'!$J$2:$J$29,"Passed")</f>
        <v>7</v>
      </c>
      <c r="D9" s="14" t="n">
        <f aca="false">COUNTIFS('Test Cases'!$B$2:$B$29,A9,'Test Cases'!$J$2:$J$29,"Failed")</f>
        <v>0</v>
      </c>
      <c r="E9" s="14" t="n">
        <f aca="false">COUNTIFS('Test Cases'!$B$2:$B$29,A9,'Test Cases'!$J$2:$J$29,"Blocked")</f>
        <v>0</v>
      </c>
      <c r="F9" s="14" t="n">
        <f aca="false">COUNTIFS('Test Cases'!$B$2:$B$29,A9,'Test Cases'!$J$2:$J$29,"Not Run")</f>
        <v>0</v>
      </c>
    </row>
    <row r="10" customFormat="false" ht="15" hidden="false" customHeight="false" outlineLevel="0" collapsed="false">
      <c r="A10" s="13" t="s">
        <v>211</v>
      </c>
      <c r="B10" s="14" t="n">
        <f aca="false">COUNTIF('Test Cases'!$B$2:$B$29,A10)</f>
        <v>3</v>
      </c>
      <c r="C10" s="14" t="n">
        <f aca="false">COUNTIFS('Test Cases'!$B$2:$B$29,A10,'Test Cases'!$J$2:$J$29,"Passed")</f>
        <v>0</v>
      </c>
      <c r="D10" s="14" t="n">
        <f aca="false">COUNTIFS('Test Cases'!$B$2:$B$29,A10,'Test Cases'!$J$2:$J$29,"Failed")</f>
        <v>0</v>
      </c>
      <c r="E10" s="14" t="n">
        <f aca="false">COUNTIFS('Test Cases'!$B$2:$B$29,A10,'Test Cases'!$J$2:$J$29,"Blocked")</f>
        <v>3</v>
      </c>
      <c r="F10" s="14" t="n">
        <f aca="false">COUNTIFS('Test Cases'!$B$2:$B$29,A10,'Test Cases'!$J$2:$J$29,"Not Run")</f>
        <v>0</v>
      </c>
    </row>
    <row r="11" customFormat="false" ht="15" hidden="false" customHeight="false" outlineLevel="0" collapsed="false">
      <c r="A11" s="15" t="s">
        <v>230</v>
      </c>
      <c r="B11" s="16" t="n">
        <f aca="false">SUM(B4:B10)</f>
        <v>28</v>
      </c>
      <c r="C11" s="16" t="n">
        <f aca="false">SUM(C4:C10)</f>
        <v>21</v>
      </c>
      <c r="D11" s="16" t="n">
        <f aca="false">SUM(D4:D10)</f>
        <v>0</v>
      </c>
      <c r="E11" s="16" t="n">
        <f aca="false">SUM(E4:E10)</f>
        <v>7</v>
      </c>
      <c r="F11" s="16" t="n">
        <f aca="false">SUM(F4:F10)</f>
        <v>0</v>
      </c>
    </row>
    <row r="13" customFormat="false" ht="15" hidden="false" customHeight="false" outlineLevel="0" collapsed="false">
      <c r="A13" s="2" t="s">
        <v>231</v>
      </c>
      <c r="B13" s="17" t="n">
        <f aca="false">IFERROR(C11/(C11+D11+E11),"n/a")</f>
        <v>0.75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db04bd20-72f3-411d-9324-63094fc42163}" enabled="1" method="Standard" siteId="{0b6a780e-a9c6-4482-97dc-2aecb06ee1b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2026-08-15T21:54:11Z</dcterms:created>
  <dc:creator>openpyxl</dc:creator>
  <dc:description/>
  <dc:language>en-US</dc:language>
  <cp:lastModifiedBy/>
  <dcterms:modified xsi:type="dcterms:W3CDTF">2026-08-16T13:48:06Z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