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chrafcheniti/Documents/Summer_2026/COMP 353/cscs-db-353/Tests/"/>
    </mc:Choice>
  </mc:AlternateContent>
  <xr:revisionPtr revIDLastSave="0" documentId="13_ncr:1_{0A3F7492-9D7C-EF42-8084-6C75FF872B95}" xr6:coauthVersionLast="47" xr6:coauthVersionMax="47" xr10:uidLastSave="{00000000-0000-0000-0000-000000000000}"/>
  <bookViews>
    <workbookView xWindow="0" yWindow="600" windowWidth="28800" windowHeight="16100" tabRatio="500" activeTab="1" xr2:uid="{00000000-000D-0000-FFFF-FFFF00000000}"/>
  </bookViews>
  <sheets>
    <sheet name="Test Plan" sheetId="1" r:id="rId1"/>
    <sheet name="Test Cases" sheetId="2" r:id="rId2"/>
    <sheet name="Summary" sheetId="3" r:id="rId3"/>
  </sheets>
  <definedNames>
    <definedName name="_xlnm._FilterDatabase" localSheetId="1" hidden="1">'Test Cases'!$A$1:$M$29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3" l="1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B11" i="3" l="1"/>
  <c r="C11" i="3"/>
  <c r="E11" i="3"/>
  <c r="F11" i="3"/>
  <c r="D11" i="3"/>
  <c r="B13" i="3" l="1"/>
</calcChain>
</file>

<file path=xl/sharedStrings.xml><?xml version="1.0" encoding="utf-8"?>
<sst xmlns="http://schemas.openxmlformats.org/spreadsheetml/2006/main" count="363" uniqueCount="226">
  <si>
    <t>CSCS Main Project — Frontend Constraint Test Plan</t>
  </si>
  <si>
    <t>Project</t>
  </si>
  <si>
    <t>Country Soccer Club System (CSCS) — COMP 353 Main Project</t>
  </si>
  <si>
    <t>Test Plan Owner</t>
  </si>
  <si>
    <t>Achraf Cheniti</t>
  </si>
  <si>
    <t>Area Path</t>
  </si>
  <si>
    <t>CSCS \ Database Integrity \ Trigger Constraints</t>
  </si>
  <si>
    <t>Iteration Path</t>
  </si>
  <si>
    <t>CSCS \ Main Project</t>
  </si>
  <si>
    <t>Build / Schema Version</t>
  </si>
  <si>
    <t>01_schema.sql + 05_trigger.sql (post-fix)</t>
  </si>
  <si>
    <t>Objective</t>
  </si>
  <si>
    <t>Manually exercise every DB trigger through the frontend GUI to confirm the backend surfaces the correct accept/reject behavior end-to-end, not just at the raw SQL layer.</t>
  </si>
  <si>
    <t>Legend</t>
  </si>
  <si>
    <t>Type = Negative</t>
  </si>
  <si>
    <t>The action should be REJECTED by a trigger. Passing means you saw an error and nothing was saved.</t>
  </si>
  <si>
    <t>Type = Positive</t>
  </si>
  <si>
    <t>The action should SUCCEED. Passing means it saved with no error (a false rejection is a fail).</t>
  </si>
  <si>
    <t>Outcome: Not Run</t>
  </si>
  <si>
    <t>Default state — test not yet executed.</t>
  </si>
  <si>
    <t>Outcome: Passed</t>
  </si>
  <si>
    <t>Actual behavior matched Expected Result.</t>
  </si>
  <si>
    <t>Outcome: Failed</t>
  </si>
  <si>
    <t>Actual behavior did not match — the frontend allowed something it shouldn't have, blocked something valid, or the error message/UX was misleading.</t>
  </si>
  <si>
    <t>Outcome: Blocked</t>
  </si>
  <si>
    <t>Could not be executed (e.g. missing test data, unrelated bug in the way).</t>
  </si>
  <si>
    <t>Yellow cells</t>
  </si>
  <si>
    <t>Fill these in yourself while testing: Outcome, Actual Result / Notes, Tested By, Date Tested.</t>
  </si>
  <si>
    <t>Note</t>
  </si>
  <si>
    <t>The Expected Result for each case states the underlying constraint being tested. The exact error text your frontend displays may differ from the raw SQL message (SIGNAL MESSAGE_TEXT) if your backend wraps/rewords it — that's fine, as long as the record is genuinely rejected and the user is told why.</t>
  </si>
  <si>
    <t>Test Case ID</t>
  </si>
  <si>
    <t>Suite</t>
  </si>
  <si>
    <t>Title</t>
  </si>
  <si>
    <t>Priority</t>
  </si>
  <si>
    <t>Type</t>
  </si>
  <si>
    <t>Related Trigger</t>
  </si>
  <si>
    <t>Precondition</t>
  </si>
  <si>
    <t>Steps</t>
  </si>
  <si>
    <t>Expected Result</t>
  </si>
  <si>
    <t>Outcome</t>
  </si>
  <si>
    <t>Actual Result / Notes</t>
  </si>
  <si>
    <t>Tested By</t>
  </si>
  <si>
    <t>Date Tested</t>
  </si>
  <si>
    <t>TC-001</t>
  </si>
  <si>
    <t>Location Management</t>
  </si>
  <si>
    <t>Reject a second Head location</t>
  </si>
  <si>
    <t>Negative</t>
  </si>
  <si>
    <t>trg_location_before_insert</t>
  </si>
  <si>
    <t>A Head location already exists in the system.</t>
  </si>
  <si>
    <t>1. Go to Locations.
2. Click Add / Create Location.
3. Fill in valid details and set Type = Head.
4. Submit.</t>
  </si>
  <si>
    <t>Submission is rejected with an error that only one Head location is allowed. No new row appears in the Locations list.</t>
  </si>
  <si>
    <t>Not Run</t>
  </si>
  <si>
    <t>TC-002</t>
  </si>
  <si>
    <t>Create a Branch location</t>
  </si>
  <si>
    <t>Positive</t>
  </si>
  <si>
    <t>None.</t>
  </si>
  <si>
    <t>1. Go to Locations.
2. Click Add / Create Location.
3. Fill in valid details and set Type = Branch.
4. Submit.</t>
  </si>
  <si>
    <t>Location is created and appears in the Locations list.</t>
  </si>
  <si>
    <t>TC-003</t>
  </si>
  <si>
    <t>Reject promoting a Branch to Head</t>
  </si>
  <si>
    <t>trg_location_before_update</t>
  </si>
  <si>
    <t>A Head location exists; at least one Branch exists.</t>
  </si>
  <si>
    <t>1. Open an existing Branch location for editing.
2. Change Type to Head.
3. Save.</t>
  </si>
  <si>
    <t>Save is rejected with the same "only one Head location" error; the Branch's Type remains unchanged.</t>
  </si>
  <si>
    <t>TC-004</t>
  </si>
  <si>
    <t>Personnel Management</t>
  </si>
  <si>
    <t>Reject overlapping personnel assignment</t>
  </si>
  <si>
    <t>trg_personnel_assignment_before_insert</t>
  </si>
  <si>
    <t>A Personnel record has an active (open-ended) assignment at Location A.</t>
  </si>
  <si>
    <t>1. Open the same Personnel record.
2. Add a new assignment to Location B with a start date that overlaps the existing assignment's period.
3. Save.</t>
  </si>
  <si>
    <t>Rejected: personnel cannot operate at two locations during overlapping periods.</t>
  </si>
  <si>
    <t>TC-005</t>
  </si>
  <si>
    <t>Accept a sequential personnel assignment</t>
  </si>
  <si>
    <t>Personnel record from TC-004.</t>
  </si>
  <si>
    <t>1. End-date the current assignment.
2. Add a new assignment to a different location starting after that end date.
3. Save.</t>
  </si>
  <si>
    <t>Both assignments save successfully; no overlap error.</t>
  </si>
  <si>
    <t>TC-006</t>
  </si>
  <si>
    <t>Family Member Management</t>
  </si>
  <si>
    <t>Reject overlapping family member assignment</t>
  </si>
  <si>
    <t>trg_family_assignment_before_insert</t>
  </si>
  <si>
    <t>A Family Member has an active (open-ended) assignment at Location A.</t>
  </si>
  <si>
    <t>1. Open the same Family Member record.
2. Add a new assignment to Location B overlapping the existing period.
3. Save.</t>
  </si>
  <si>
    <t>Rejected: family member cannot be associated with two locations during overlapping periods.</t>
  </si>
  <si>
    <t>TC-007</t>
  </si>
  <si>
    <t>Accept a sequential family member assignment</t>
  </si>
  <si>
    <t>Family Member record from TC-006.</t>
  </si>
  <si>
    <t>1. End-date the current assignment.
2. Add a new assignment starting after that end date.
3. Save.</t>
  </si>
  <si>
    <t>Both assignments save successfully.</t>
  </si>
  <si>
    <t>TC-008</t>
  </si>
  <si>
    <t>Reject deleting a minor's only family relation</t>
  </si>
  <si>
    <t>trg_family_relation_before_delete</t>
  </si>
  <si>
    <t>A minor Club Member has exactly one active family relation.</t>
  </si>
  <si>
    <t>1. Open the minor's profile / Family Members tab.
2. Delete the linked family member relation.</t>
  </si>
  <si>
    <t>Rejected: a minor club member must always have at least one active linked family member. The relation is not removed.</t>
  </si>
  <si>
    <t>TC-009</t>
  </si>
  <si>
    <t>Accept removing one of two relations when another remains active</t>
  </si>
  <si>
    <t>A minor Club Member has two active family relations.</t>
  </si>
  <si>
    <t>1. Open the minor's profile.
2. Delete one of the two relations.</t>
  </si>
  <si>
    <t>Succeeds — the deletion is allowed because another active relation remains.</t>
  </si>
  <si>
    <t>TC-010</t>
  </si>
  <si>
    <t>Reject end-dating a minor's last active relation</t>
  </si>
  <si>
    <t>trg_family_relation_before_update</t>
  </si>
  <si>
    <t>1. Open the minor's profile.
2. Edit the relation and set an End Date of today or earlier.
3. Save.</t>
  </si>
  <si>
    <t>Rejected with the same "must always have at least one active linked family member" error.</t>
  </si>
  <si>
    <t>TC-011</t>
  </si>
  <si>
    <t>Club Member Management</t>
  </si>
  <si>
    <t>Reject registering a club member under age 4</t>
  </si>
  <si>
    <t>trg_club_member_before_insert</t>
  </si>
  <si>
    <t>1. Go to Club Members.
2. Click Add / Register.
3. Enter a Date of Birth less than 4 years before the Registration Date.
4. Submit.</t>
  </si>
  <si>
    <t>Rejected: a new club member must be at least 4 years old at registration.</t>
  </si>
  <si>
    <t>TC-012</t>
  </si>
  <si>
    <t>Reject registering a member at a full-capacity location</t>
  </si>
  <si>
    <t>A location's active Club Member count already equals its Capacity.</t>
  </si>
  <si>
    <t>1. Go to Club Members, click Add.
2. Set Location to the full location; fill in valid details otherwise.
3. Submit.</t>
  </si>
  <si>
    <t>Rejected: location capacity reached.</t>
  </si>
  <si>
    <t>TC-013</t>
  </si>
  <si>
    <t>Accept a valid club member registration</t>
  </si>
  <si>
    <t>Target location is under capacity.</t>
  </si>
  <si>
    <t>1. Go to Club Members, click Add.
2. Fill in valid details, age 4+, location under capacity.
3. Submit.</t>
  </si>
  <si>
    <t>Club member is created and appears in the list.</t>
  </si>
  <si>
    <t>TC-014</t>
  </si>
  <si>
    <t>Reject transferring a member into a full location</t>
  </si>
  <si>
    <t>trg_club_member_before_update</t>
  </si>
  <si>
    <t>Club Member A is at Location X (under capacity); Location Y is at full capacity.</t>
  </si>
  <si>
    <t>1. Open Club Member A.
2. Change Location to Y.
3. Save.</t>
  </si>
  <si>
    <t>Rejected: location capacity reached — member cannot be transferred there.</t>
  </si>
  <si>
    <t>TC-015</t>
  </si>
  <si>
    <t>Team Formation Management</t>
  </si>
  <si>
    <t>Accept the first formation in a new session</t>
  </si>
  <si>
    <t>trg_team_formation_before_insert</t>
  </si>
  <si>
    <t>A Session exists with no formations yet.</t>
  </si>
  <si>
    <t>1. Go to Team Formations, click Add.
2. Select the session, a location, a head coach, a team name, and a category (Boys or Girls).
3. Submit.</t>
  </si>
  <si>
    <t>Formation is created and appears under the session.</t>
  </si>
  <si>
    <t>TC-016</t>
  </si>
  <si>
    <t>Accept a second same-category formation in the same session</t>
  </si>
  <si>
    <t>The session from TC-015 has one Boys formation.</t>
  </si>
  <si>
    <t>1. Add a second formation to the same session.
2. Set Category = Boys (same as the first).
3. Submit.</t>
  </si>
  <si>
    <t>Formation is created successfully — two same-category formations are allowed.</t>
  </si>
  <si>
    <t>TC-017</t>
  </si>
  <si>
    <t>Reject a different-category formation in the same session</t>
  </si>
  <si>
    <t>1. Add a second formation to the same session.
2. Set Category = Girls (different from the first).
3. Submit.</t>
  </si>
  <si>
    <t>Rejected: both team formations in a session must be the same category (Boys or Girls). Regression check — this was previously a known gap.</t>
  </si>
  <si>
    <t>TC-018</t>
  </si>
  <si>
    <t>Reject a third formation in the same session</t>
  </si>
  <si>
    <t>The session from TC-016 already has two formations.</t>
  </si>
  <si>
    <t>1. Attempt to add a third formation to the same session.
2. Submit.</t>
  </si>
  <si>
    <t>Rejected: a session can contain exactly two team formations.</t>
  </si>
  <si>
    <t>TC-019</t>
  </si>
  <si>
    <t>Formation Assignment (Roster)</t>
  </si>
  <si>
    <t>Reject assigning a member from a different location</t>
  </si>
  <si>
    <t>trg_team_formation_assignment_before_insert</t>
  </si>
  <si>
    <t>A formation exists at Location A; a Club Member is registered at Location B.</t>
  </si>
  <si>
    <t>1. Open the formation's roster.
2. Add the Location-B member with any role.
3. Save.</t>
  </si>
  <si>
    <t>Rejected: club member location does not match the team formation location.</t>
  </si>
  <si>
    <t>TC-020</t>
  </si>
  <si>
    <t>Reject assigning a member of the wrong gender</t>
  </si>
  <si>
    <t>A Boys-category formation exists; a Female club member is registered at that formation's location.</t>
  </si>
  <si>
    <t>1. Open the formation's roster.
2. Add the Female member.
3. Save.</t>
  </si>
  <si>
    <t>Rejected: club member gender does not match the team formation category.</t>
  </si>
  <si>
    <t>TC-021</t>
  </si>
  <si>
    <t>Reject a same-day assignment under 3 hours apart</t>
  </si>
  <si>
    <t>A member is already assigned to Session A on a given day. Session B exists the same day, starting less than 3 hours from Session A.</t>
  </si>
  <si>
    <t>1. Open Session B's formation roster.
2. Add the same member.
3. Save.</t>
  </si>
  <si>
    <t>Rejected: conflicting assignment — same-day formations must be at least 3 hours apart.</t>
  </si>
  <si>
    <t>TC-022</t>
  </si>
  <si>
    <t>Accept a same-day assignment at least 3 hours apart</t>
  </si>
  <si>
    <t>Same setup as TC-021, but Session B starts 3+ hours after Session A.</t>
  </si>
  <si>
    <t>Assignment succeeds — no conflict error.</t>
  </si>
  <si>
    <t>TC-023</t>
  </si>
  <si>
    <t>Reject assigning a minor with no active family relation</t>
  </si>
  <si>
    <t>A minor Club Member exists with zero active family relations.</t>
  </si>
  <si>
    <t>1. Open a matching formation's roster.
2. Add the minor.
3. Save.</t>
  </si>
  <si>
    <t>Rejected: minor club member must have a family member relationship active on the session date.</t>
  </si>
  <si>
    <t>TC-024</t>
  </si>
  <si>
    <t>Reject assigning a member with unpaid fees</t>
  </si>
  <si>
    <t>A Club Member has $0 payments recorded for the session's year.</t>
  </si>
  <si>
    <t>1. Open a matching formation's roster.
2. Add the unpaid member.
3. Save.</t>
  </si>
  <si>
    <t>Rejected: club member is not eligible — membership fee for the session year is not fully paid.</t>
  </si>
  <si>
    <t>TC-025</t>
  </si>
  <si>
    <t>Accept assigning a paid-up, eligible member</t>
  </si>
  <si>
    <t>A Club Member has fully paid the required fee for the session's year, correct location/gender, no conflicts.</t>
  </si>
  <si>
    <t>1. Open a matching formation's roster.
2. Add the member with a valid role.
3. Save.</t>
  </si>
  <si>
    <t>Assignment succeeds and the member appears on the roster.</t>
  </si>
  <si>
    <t>TC-026</t>
  </si>
  <si>
    <t>FIFA Participation</t>
  </si>
  <si>
    <t>Reject logging an unpaid member as a FIFA participant</t>
  </si>
  <si>
    <t>trg_fifa_participation_before_insert</t>
  </si>
  <si>
    <t>A Club Member has $0 payments recorded for the game's year.</t>
  </si>
  <si>
    <t>1. Open the FIFA Game.
2. Add the unpaid member as a participant.
3. Save.</t>
  </si>
  <si>
    <t>Rejected: club member is not eligible — membership fee for the game year is not fully paid.</t>
  </si>
  <si>
    <t>TC-027</t>
  </si>
  <si>
    <t>Reject logging a minor with no active family relation</t>
  </si>
  <si>
    <t>1. Open the FIFA Game.
2. Add the minor as a participant.
3. Save.</t>
  </si>
  <si>
    <t>Rejected: minor club member must have a family member relationship active on the game date.</t>
  </si>
  <si>
    <t>TC-028</t>
  </si>
  <si>
    <t>Accept logging a paid-up, eligible member</t>
  </si>
  <si>
    <t>A Club Member has fully paid the required fee for the game's year (and an active family relation, if a minor).</t>
  </si>
  <si>
    <t>1. Open the FIFA Game.
2. Add the eligible member as a participant.
3. Save.</t>
  </si>
  <si>
    <t>Participant is added successfully.</t>
  </si>
  <si>
    <t>Test Run Summary</t>
  </si>
  <si>
    <t>Total</t>
  </si>
  <si>
    <t>Passed</t>
  </si>
  <si>
    <t>Failed</t>
  </si>
  <si>
    <t>Blocked</t>
  </si>
  <si>
    <t>TOTAL</t>
  </si>
  <si>
    <t>Pass rate (of executed tests)</t>
  </si>
  <si>
    <t>Achraf</t>
  </si>
  <si>
    <t>15-08-2026</t>
  </si>
  <si>
    <t xml:space="preserve">The club can only have one Head location.
</t>
  </si>
  <si>
    <t>No Issue you can create a branch</t>
  </si>
  <si>
    <t>The club can only have one Head location.
This works fine</t>
  </si>
  <si>
    <r>
      <t xml:space="preserve">We need to create a section to preview the </t>
    </r>
    <r>
      <rPr>
        <b/>
        <sz val="10"/>
        <rFont val="Arial"/>
        <family val="2"/>
      </rPr>
      <t xml:space="preserve">PersonnelAssignment.
</t>
    </r>
    <r>
      <rPr>
        <sz val="10"/>
        <rFont val="Arial"/>
        <family val="2"/>
      </rPr>
      <t xml:space="preserve">This trigger requires a section in the Personnel page trg_personnel_assignment_before_insert Which must be implement in the </t>
    </r>
    <r>
      <rPr>
        <sz val="10"/>
        <color rgb="FFFF0000"/>
        <rFont val="Arial"/>
        <family val="2"/>
      </rPr>
      <t>frontend</t>
    </r>
  </si>
  <si>
    <t>Same note as the one above</t>
  </si>
  <si>
    <t>We need to create a section to preview the FamilyMemberAssignment Similar to the PersonnelAssignment</t>
  </si>
  <si>
    <t>You can only leave at least one family member for those under 18 years old</t>
  </si>
  <si>
    <t>As long as you have one relation and the member &lt; 18 all is good</t>
  </si>
  <si>
    <t xml:space="preserve">Cannot update this family relation: a minor club member must always have at least one active linked family member.
</t>
  </si>
  <si>
    <t xml:space="preserve">A club member must have been at least 4 years old at registration.
</t>
  </si>
  <si>
    <t xml:space="preserve">Location capacity reached: another active club member cannot be added.
</t>
  </si>
  <si>
    <t>Works fine</t>
  </si>
  <si>
    <t>Record added successfully</t>
  </si>
  <si>
    <t>16-08-2026</t>
  </si>
  <si>
    <t xml:space="preserve">Both team formations in a session must be the same category (Boys or Girls).
</t>
  </si>
  <si>
    <t xml:space="preserve">A session can contain exactly two team formations; a third formation is not allowed.
</t>
  </si>
  <si>
    <t xml:space="preserve">Club member location does not match the team formation location.
</t>
  </si>
  <si>
    <t xml:space="preserve">Club member gender does not match the team formation category.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</si>
</sst>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rgb="FF1F3864"/>
      <name val="Arial"/>
      <family val="2"/>
    </font>
    <font>
      <i/>
      <sz val="10"/>
      <name val="Arial"/>
      <family val="2"/>
    </font>
    <font>
      <i/>
      <sz val="10"/>
      <color rgb="FF66666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4F6FA"/>
        <bgColor rgb="FFFFFFFF"/>
      </patternFill>
    </fill>
    <fill>
      <patternFill patternType="solid">
        <fgColor rgb="FFFFF2CC"/>
        <bgColor rgb="FFF4F6FA"/>
      </patternFill>
    </fill>
    <fill>
      <patternFill patternType="solid">
        <fgColor rgb="FFE7ECF5"/>
        <bgColor rgb="FFF4F6F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 wrapText="1"/>
    </xf>
    <xf numFmtId="0" fontId="1" fillId="0" borderId="0" xfId="0" applyFont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C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A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0"/>
  <sheetViews>
    <sheetView showGridLines="0" zoomScaleNormal="100" workbookViewId="0">
      <selection activeCell="B19" sqref="B19"/>
    </sheetView>
  </sheetViews>
  <sheetFormatPr baseColWidth="10" defaultColWidth="8.6640625" defaultRowHeight="15" x14ac:dyDescent="0.2"/>
  <cols>
    <col min="1" max="1" width="26" customWidth="1"/>
    <col min="2" max="2" width="70" customWidth="1"/>
  </cols>
  <sheetData>
    <row r="1" spans="1:2" ht="20" x14ac:dyDescent="0.2">
      <c r="A1" s="18" t="s">
        <v>0</v>
      </c>
      <c r="B1" s="18"/>
    </row>
    <row r="3" spans="1:2" x14ac:dyDescent="0.2">
      <c r="A3" s="1" t="s">
        <v>1</v>
      </c>
      <c r="B3" s="2" t="s">
        <v>2</v>
      </c>
    </row>
    <row r="4" spans="1:2" x14ac:dyDescent="0.2">
      <c r="A4" s="1" t="s">
        <v>3</v>
      </c>
      <c r="B4" s="2" t="s">
        <v>4</v>
      </c>
    </row>
    <row r="5" spans="1:2" x14ac:dyDescent="0.2">
      <c r="A5" s="1" t="s">
        <v>5</v>
      </c>
      <c r="B5" s="2" t="s">
        <v>6</v>
      </c>
    </row>
    <row r="6" spans="1:2" x14ac:dyDescent="0.2">
      <c r="A6" s="1" t="s">
        <v>7</v>
      </c>
      <c r="B6" s="2" t="s">
        <v>8</v>
      </c>
    </row>
    <row r="7" spans="1:2" x14ac:dyDescent="0.2">
      <c r="A7" s="1" t="s">
        <v>9</v>
      </c>
      <c r="B7" s="2" t="s">
        <v>10</v>
      </c>
    </row>
    <row r="8" spans="1:2" ht="28" x14ac:dyDescent="0.2">
      <c r="A8" s="1" t="s">
        <v>11</v>
      </c>
      <c r="B8" s="2" t="s">
        <v>12</v>
      </c>
    </row>
    <row r="10" spans="1:2" ht="16" x14ac:dyDescent="0.2">
      <c r="A10" s="3" t="s">
        <v>13</v>
      </c>
    </row>
    <row r="11" spans="1:2" ht="28" x14ac:dyDescent="0.2">
      <c r="A11" s="4" t="s">
        <v>14</v>
      </c>
      <c r="B11" s="2" t="s">
        <v>15</v>
      </c>
    </row>
    <row r="12" spans="1:2" ht="28" x14ac:dyDescent="0.2">
      <c r="A12" s="4" t="s">
        <v>16</v>
      </c>
      <c r="B12" s="2" t="s">
        <v>17</v>
      </c>
    </row>
    <row r="13" spans="1:2" x14ac:dyDescent="0.2">
      <c r="A13" s="4" t="s">
        <v>18</v>
      </c>
      <c r="B13" s="2" t="s">
        <v>19</v>
      </c>
    </row>
    <row r="14" spans="1:2" x14ac:dyDescent="0.2">
      <c r="A14" s="4" t="s">
        <v>20</v>
      </c>
      <c r="B14" s="2" t="s">
        <v>21</v>
      </c>
    </row>
    <row r="15" spans="1:2" ht="28" x14ac:dyDescent="0.2">
      <c r="A15" s="4" t="s">
        <v>22</v>
      </c>
      <c r="B15" s="2" t="s">
        <v>23</v>
      </c>
    </row>
    <row r="16" spans="1:2" x14ac:dyDescent="0.2">
      <c r="A16" s="4" t="s">
        <v>24</v>
      </c>
      <c r="B16" s="2" t="s">
        <v>25</v>
      </c>
    </row>
    <row r="17" spans="1:2" ht="28" x14ac:dyDescent="0.2">
      <c r="A17" s="4" t="s">
        <v>26</v>
      </c>
      <c r="B17" s="2" t="s">
        <v>27</v>
      </c>
    </row>
    <row r="19" spans="1:2" ht="16" x14ac:dyDescent="0.2">
      <c r="A19" s="3" t="s">
        <v>28</v>
      </c>
    </row>
    <row r="20" spans="1:2" ht="48" customHeight="1" x14ac:dyDescent="0.2">
      <c r="A20" s="19" t="s">
        <v>29</v>
      </c>
      <c r="B20" s="19"/>
    </row>
  </sheetData>
  <mergeCells count="2">
    <mergeCell ref="A1:B1"/>
    <mergeCell ref="A20:B2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9"/>
  <sheetViews>
    <sheetView showGridLines="0" tabSelected="1" zoomScaleNormal="100" workbookViewId="0">
      <pane xSplit="3" ySplit="1" topLeftCell="D6" activePane="bottomRight" state="frozen"/>
      <selection pane="topRight" activeCell="D1" sqref="D1"/>
      <selection pane="bottomLeft" activeCell="A2" sqref="A2"/>
      <selection pane="bottomRight" activeCell="H10" sqref="H10"/>
    </sheetView>
  </sheetViews>
  <sheetFormatPr baseColWidth="10" defaultColWidth="8.6640625" defaultRowHeight="15" x14ac:dyDescent="0.2"/>
  <cols>
    <col min="1" max="1" width="11" customWidth="1"/>
    <col min="2" max="2" width="20" customWidth="1"/>
    <col min="3" max="3" width="30" customWidth="1"/>
    <col min="4" max="4" width="9" customWidth="1"/>
    <col min="5" max="5" width="10" customWidth="1"/>
    <col min="6" max="6" width="34" customWidth="1"/>
    <col min="7" max="7" width="26" customWidth="1"/>
    <col min="8" max="9" width="40" customWidth="1"/>
    <col min="10" max="10" width="12" customWidth="1"/>
    <col min="11" max="11" width="29.5" bestFit="1" customWidth="1"/>
    <col min="12" max="12" width="14" customWidth="1"/>
    <col min="13" max="13" width="13" customWidth="1"/>
  </cols>
  <sheetData>
    <row r="1" spans="1:13" ht="30" customHeight="1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42</v>
      </c>
    </row>
    <row r="2" spans="1:13" ht="60" customHeight="1" x14ac:dyDescent="0.2">
      <c r="A2" s="6" t="s">
        <v>43</v>
      </c>
      <c r="B2" s="6" t="s">
        <v>44</v>
      </c>
      <c r="C2" s="6" t="s">
        <v>45</v>
      </c>
      <c r="D2" s="6">
        <v>1</v>
      </c>
      <c r="E2" s="17" t="s">
        <v>46</v>
      </c>
      <c r="F2" s="6" t="s">
        <v>47</v>
      </c>
      <c r="G2" s="7" t="s">
        <v>48</v>
      </c>
      <c r="H2" s="7" t="s">
        <v>49</v>
      </c>
      <c r="I2" s="7" t="s">
        <v>50</v>
      </c>
      <c r="J2" s="16" t="s">
        <v>201</v>
      </c>
      <c r="K2" s="8" t="s">
        <v>208</v>
      </c>
      <c r="L2" s="8" t="s">
        <v>206</v>
      </c>
      <c r="M2" s="8" t="s">
        <v>207</v>
      </c>
    </row>
    <row r="3" spans="1:13" ht="60" customHeight="1" x14ac:dyDescent="0.2">
      <c r="A3" s="9" t="s">
        <v>52</v>
      </c>
      <c r="B3" s="9" t="s">
        <v>44</v>
      </c>
      <c r="C3" s="9" t="s">
        <v>53</v>
      </c>
      <c r="D3" s="9">
        <v>2</v>
      </c>
      <c r="E3" s="9" t="s">
        <v>54</v>
      </c>
      <c r="F3" s="9" t="s">
        <v>47</v>
      </c>
      <c r="G3" s="10" t="s">
        <v>55</v>
      </c>
      <c r="H3" s="10" t="s">
        <v>56</v>
      </c>
      <c r="I3" s="10" t="s">
        <v>57</v>
      </c>
      <c r="J3" s="8" t="s">
        <v>201</v>
      </c>
      <c r="K3" s="8" t="s">
        <v>209</v>
      </c>
      <c r="L3" s="8" t="s">
        <v>206</v>
      </c>
      <c r="M3" s="8" t="s">
        <v>207</v>
      </c>
    </row>
    <row r="4" spans="1:13" ht="60" customHeight="1" x14ac:dyDescent="0.2">
      <c r="A4" s="6" t="s">
        <v>58</v>
      </c>
      <c r="B4" s="6" t="s">
        <v>44</v>
      </c>
      <c r="C4" s="6" t="s">
        <v>59</v>
      </c>
      <c r="D4" s="6">
        <v>2</v>
      </c>
      <c r="E4" s="6" t="s">
        <v>46</v>
      </c>
      <c r="F4" s="6" t="s">
        <v>60</v>
      </c>
      <c r="G4" s="7" t="s">
        <v>61</v>
      </c>
      <c r="H4" s="7" t="s">
        <v>62</v>
      </c>
      <c r="I4" s="7" t="s">
        <v>63</v>
      </c>
      <c r="J4" s="8" t="s">
        <v>201</v>
      </c>
      <c r="K4" s="8" t="s">
        <v>210</v>
      </c>
      <c r="L4" s="8" t="s">
        <v>206</v>
      </c>
      <c r="M4" s="8" t="s">
        <v>207</v>
      </c>
    </row>
    <row r="5" spans="1:13" ht="98" x14ac:dyDescent="0.2">
      <c r="A5" s="9" t="s">
        <v>64</v>
      </c>
      <c r="B5" s="9" t="s">
        <v>65</v>
      </c>
      <c r="C5" s="9" t="s">
        <v>66</v>
      </c>
      <c r="D5" s="9">
        <v>1</v>
      </c>
      <c r="E5" s="9" t="s">
        <v>46</v>
      </c>
      <c r="F5" s="9" t="s">
        <v>67</v>
      </c>
      <c r="G5" s="10" t="s">
        <v>68</v>
      </c>
      <c r="H5" s="10" t="s">
        <v>69</v>
      </c>
      <c r="I5" s="10" t="s">
        <v>70</v>
      </c>
      <c r="J5" s="8" t="s">
        <v>203</v>
      </c>
      <c r="K5" s="8" t="s">
        <v>211</v>
      </c>
      <c r="L5" s="8"/>
      <c r="M5" s="8"/>
    </row>
    <row r="6" spans="1:13" ht="60" customHeight="1" x14ac:dyDescent="0.2">
      <c r="A6" s="6" t="s">
        <v>71</v>
      </c>
      <c r="B6" s="6" t="s">
        <v>65</v>
      </c>
      <c r="C6" s="6" t="s">
        <v>72</v>
      </c>
      <c r="D6" s="6">
        <v>2</v>
      </c>
      <c r="E6" s="6" t="s">
        <v>54</v>
      </c>
      <c r="F6" s="6" t="s">
        <v>67</v>
      </c>
      <c r="G6" s="7" t="s">
        <v>73</v>
      </c>
      <c r="H6" s="7" t="s">
        <v>74</v>
      </c>
      <c r="I6" s="7" t="s">
        <v>75</v>
      </c>
      <c r="J6" s="8" t="s">
        <v>203</v>
      </c>
      <c r="K6" s="8" t="s">
        <v>212</v>
      </c>
      <c r="L6" s="8"/>
      <c r="M6" s="8"/>
    </row>
    <row r="7" spans="1:13" ht="60" customHeight="1" x14ac:dyDescent="0.2">
      <c r="A7" s="9" t="s">
        <v>76</v>
      </c>
      <c r="B7" s="9" t="s">
        <v>77</v>
      </c>
      <c r="C7" s="9" t="s">
        <v>78</v>
      </c>
      <c r="D7" s="9">
        <v>1</v>
      </c>
      <c r="E7" s="9" t="s">
        <v>46</v>
      </c>
      <c r="F7" s="9" t="s">
        <v>79</v>
      </c>
      <c r="G7" s="10" t="s">
        <v>80</v>
      </c>
      <c r="H7" s="10" t="s">
        <v>81</v>
      </c>
      <c r="I7" s="10" t="s">
        <v>82</v>
      </c>
      <c r="J7" s="8" t="s">
        <v>203</v>
      </c>
      <c r="K7" s="8" t="s">
        <v>213</v>
      </c>
      <c r="L7" s="8"/>
      <c r="M7" s="8"/>
    </row>
    <row r="8" spans="1:13" ht="60" customHeight="1" x14ac:dyDescent="0.2">
      <c r="A8" s="6" t="s">
        <v>83</v>
      </c>
      <c r="B8" s="6" t="s">
        <v>77</v>
      </c>
      <c r="C8" s="6" t="s">
        <v>84</v>
      </c>
      <c r="D8" s="6">
        <v>2</v>
      </c>
      <c r="E8" s="6" t="s">
        <v>54</v>
      </c>
      <c r="F8" s="6" t="s">
        <v>79</v>
      </c>
      <c r="G8" s="7" t="s">
        <v>85</v>
      </c>
      <c r="H8" s="7" t="s">
        <v>86</v>
      </c>
      <c r="I8" s="7" t="s">
        <v>87</v>
      </c>
      <c r="J8" s="8" t="s">
        <v>203</v>
      </c>
      <c r="K8" s="8" t="s">
        <v>212</v>
      </c>
      <c r="L8" s="8"/>
      <c r="M8" s="8"/>
    </row>
    <row r="9" spans="1:13" ht="60" customHeight="1" x14ac:dyDescent="0.2">
      <c r="A9" s="9" t="s">
        <v>88</v>
      </c>
      <c r="B9" s="9" t="s">
        <v>77</v>
      </c>
      <c r="C9" s="9" t="s">
        <v>89</v>
      </c>
      <c r="D9" s="9">
        <v>1</v>
      </c>
      <c r="E9" s="9" t="s">
        <v>46</v>
      </c>
      <c r="F9" s="9" t="s">
        <v>90</v>
      </c>
      <c r="G9" s="10" t="s">
        <v>91</v>
      </c>
      <c r="H9" s="10" t="s">
        <v>92</v>
      </c>
      <c r="I9" s="10" t="s">
        <v>93</v>
      </c>
      <c r="J9" s="8" t="s">
        <v>201</v>
      </c>
      <c r="K9" s="8" t="s">
        <v>214</v>
      </c>
      <c r="L9" s="8" t="s">
        <v>206</v>
      </c>
      <c r="M9" s="8" t="s">
        <v>207</v>
      </c>
    </row>
    <row r="10" spans="1:13" ht="60" customHeight="1" x14ac:dyDescent="0.2">
      <c r="A10" s="6" t="s">
        <v>94</v>
      </c>
      <c r="B10" s="6" t="s">
        <v>77</v>
      </c>
      <c r="C10" s="6" t="s">
        <v>95</v>
      </c>
      <c r="D10" s="6">
        <v>3</v>
      </c>
      <c r="E10" s="6" t="s">
        <v>54</v>
      </c>
      <c r="F10" s="6" t="s">
        <v>90</v>
      </c>
      <c r="G10" s="7" t="s">
        <v>96</v>
      </c>
      <c r="H10" s="7" t="s">
        <v>97</v>
      </c>
      <c r="I10" s="7" t="s">
        <v>98</v>
      </c>
      <c r="J10" s="8" t="s">
        <v>201</v>
      </c>
      <c r="K10" s="8" t="s">
        <v>215</v>
      </c>
      <c r="L10" s="8" t="s">
        <v>206</v>
      </c>
      <c r="M10" s="8" t="s">
        <v>207</v>
      </c>
    </row>
    <row r="11" spans="1:13" ht="60" customHeight="1" x14ac:dyDescent="0.2">
      <c r="A11" s="9" t="s">
        <v>99</v>
      </c>
      <c r="B11" s="9" t="s">
        <v>77</v>
      </c>
      <c r="C11" s="9" t="s">
        <v>100</v>
      </c>
      <c r="D11" s="9">
        <v>2</v>
      </c>
      <c r="E11" s="9" t="s">
        <v>46</v>
      </c>
      <c r="F11" s="9" t="s">
        <v>101</v>
      </c>
      <c r="G11" s="10" t="s">
        <v>91</v>
      </c>
      <c r="H11" s="10" t="s">
        <v>102</v>
      </c>
      <c r="I11" s="10" t="s">
        <v>103</v>
      </c>
      <c r="J11" s="8" t="s">
        <v>201</v>
      </c>
      <c r="K11" s="8" t="s">
        <v>216</v>
      </c>
      <c r="L11" s="8" t="s">
        <v>206</v>
      </c>
      <c r="M11" s="8" t="s">
        <v>207</v>
      </c>
    </row>
    <row r="12" spans="1:13" ht="60" customHeight="1" x14ac:dyDescent="0.2">
      <c r="A12" s="6" t="s">
        <v>104</v>
      </c>
      <c r="B12" s="6" t="s">
        <v>105</v>
      </c>
      <c r="C12" s="6" t="s">
        <v>106</v>
      </c>
      <c r="D12" s="6">
        <v>1</v>
      </c>
      <c r="E12" s="6" t="s">
        <v>46</v>
      </c>
      <c r="F12" s="6" t="s">
        <v>107</v>
      </c>
      <c r="G12" s="7" t="s">
        <v>55</v>
      </c>
      <c r="H12" s="7" t="s">
        <v>108</v>
      </c>
      <c r="I12" s="7" t="s">
        <v>109</v>
      </c>
      <c r="J12" s="8" t="s">
        <v>201</v>
      </c>
      <c r="K12" s="8" t="s">
        <v>217</v>
      </c>
      <c r="L12" s="8" t="s">
        <v>206</v>
      </c>
      <c r="M12" s="8" t="s">
        <v>207</v>
      </c>
    </row>
    <row r="13" spans="1:13" ht="60" customHeight="1" x14ac:dyDescent="0.2">
      <c r="A13" s="9" t="s">
        <v>110</v>
      </c>
      <c r="B13" s="9" t="s">
        <v>105</v>
      </c>
      <c r="C13" s="9" t="s">
        <v>111</v>
      </c>
      <c r="D13" s="9">
        <v>1</v>
      </c>
      <c r="E13" s="9" t="s">
        <v>46</v>
      </c>
      <c r="F13" s="9" t="s">
        <v>107</v>
      </c>
      <c r="G13" s="10" t="s">
        <v>112</v>
      </c>
      <c r="H13" s="10" t="s">
        <v>113</v>
      </c>
      <c r="I13" s="10" t="s">
        <v>114</v>
      </c>
      <c r="J13" s="8" t="s">
        <v>201</v>
      </c>
      <c r="K13" s="8" t="s">
        <v>218</v>
      </c>
      <c r="L13" s="8" t="s">
        <v>206</v>
      </c>
      <c r="M13" s="8" t="s">
        <v>207</v>
      </c>
    </row>
    <row r="14" spans="1:13" ht="60" customHeight="1" x14ac:dyDescent="0.2">
      <c r="A14" s="6" t="s">
        <v>115</v>
      </c>
      <c r="B14" s="6" t="s">
        <v>105</v>
      </c>
      <c r="C14" s="6" t="s">
        <v>116</v>
      </c>
      <c r="D14" s="6">
        <v>2</v>
      </c>
      <c r="E14" s="6" t="s">
        <v>54</v>
      </c>
      <c r="F14" s="6" t="s">
        <v>107</v>
      </c>
      <c r="G14" s="7" t="s">
        <v>117</v>
      </c>
      <c r="H14" s="7" t="s">
        <v>118</v>
      </c>
      <c r="I14" s="7" t="s">
        <v>119</v>
      </c>
      <c r="J14" s="8" t="s">
        <v>201</v>
      </c>
      <c r="K14" s="8" t="s">
        <v>219</v>
      </c>
      <c r="L14" s="8" t="s">
        <v>206</v>
      </c>
      <c r="M14" s="8" t="s">
        <v>207</v>
      </c>
    </row>
    <row r="15" spans="1:13" ht="60" customHeight="1" x14ac:dyDescent="0.2">
      <c r="A15" s="9" t="s">
        <v>120</v>
      </c>
      <c r="B15" s="9" t="s">
        <v>105</v>
      </c>
      <c r="C15" s="9" t="s">
        <v>121</v>
      </c>
      <c r="D15" s="9">
        <v>2</v>
      </c>
      <c r="E15" s="9" t="s">
        <v>46</v>
      </c>
      <c r="F15" s="9" t="s">
        <v>122</v>
      </c>
      <c r="G15" s="10" t="s">
        <v>123</v>
      </c>
      <c r="H15" s="10" t="s">
        <v>124</v>
      </c>
      <c r="I15" s="10" t="s">
        <v>125</v>
      </c>
      <c r="J15" s="8" t="s">
        <v>201</v>
      </c>
      <c r="K15" s="8" t="s">
        <v>219</v>
      </c>
      <c r="L15" s="8" t="s">
        <v>206</v>
      </c>
      <c r="M15" s="8" t="s">
        <v>207</v>
      </c>
    </row>
    <row r="16" spans="1:13" ht="60" customHeight="1" x14ac:dyDescent="0.2">
      <c r="A16" s="6" t="s">
        <v>126</v>
      </c>
      <c r="B16" s="6" t="s">
        <v>127</v>
      </c>
      <c r="C16" s="6" t="s">
        <v>128</v>
      </c>
      <c r="D16" s="6">
        <v>2</v>
      </c>
      <c r="E16" s="6" t="s">
        <v>54</v>
      </c>
      <c r="F16" s="6" t="s">
        <v>129</v>
      </c>
      <c r="G16" s="7" t="s">
        <v>130</v>
      </c>
      <c r="H16" s="7" t="s">
        <v>131</v>
      </c>
      <c r="I16" s="7" t="s">
        <v>132</v>
      </c>
      <c r="J16" s="8" t="s">
        <v>201</v>
      </c>
      <c r="K16" s="8" t="s">
        <v>220</v>
      </c>
      <c r="L16" s="8" t="s">
        <v>206</v>
      </c>
      <c r="M16" s="8" t="s">
        <v>221</v>
      </c>
    </row>
    <row r="17" spans="1:13" ht="60" customHeight="1" x14ac:dyDescent="0.2">
      <c r="A17" s="9" t="s">
        <v>133</v>
      </c>
      <c r="B17" s="9" t="s">
        <v>127</v>
      </c>
      <c r="C17" s="9" t="s">
        <v>134</v>
      </c>
      <c r="D17" s="9">
        <v>1</v>
      </c>
      <c r="E17" s="9" t="s">
        <v>54</v>
      </c>
      <c r="F17" s="9" t="s">
        <v>129</v>
      </c>
      <c r="G17" s="10" t="s">
        <v>135</v>
      </c>
      <c r="H17" s="10" t="s">
        <v>136</v>
      </c>
      <c r="I17" s="10" t="s">
        <v>137</v>
      </c>
      <c r="J17" s="8" t="s">
        <v>201</v>
      </c>
      <c r="K17" s="8" t="s">
        <v>220</v>
      </c>
      <c r="L17" s="8" t="s">
        <v>206</v>
      </c>
      <c r="M17" s="8" t="s">
        <v>221</v>
      </c>
    </row>
    <row r="18" spans="1:13" ht="60" customHeight="1" x14ac:dyDescent="0.2">
      <c r="A18" s="6" t="s">
        <v>138</v>
      </c>
      <c r="B18" s="6" t="s">
        <v>127</v>
      </c>
      <c r="C18" s="6" t="s">
        <v>139</v>
      </c>
      <c r="D18" s="6">
        <v>1</v>
      </c>
      <c r="E18" s="6" t="s">
        <v>46</v>
      </c>
      <c r="F18" s="6" t="s">
        <v>129</v>
      </c>
      <c r="G18" s="7" t="s">
        <v>135</v>
      </c>
      <c r="H18" s="7" t="s">
        <v>140</v>
      </c>
      <c r="I18" s="7" t="s">
        <v>141</v>
      </c>
      <c r="J18" s="8" t="s">
        <v>201</v>
      </c>
      <c r="K18" s="8" t="s">
        <v>222</v>
      </c>
      <c r="L18" s="8" t="s">
        <v>206</v>
      </c>
      <c r="M18" s="8" t="s">
        <v>221</v>
      </c>
    </row>
    <row r="19" spans="1:13" ht="60" customHeight="1" x14ac:dyDescent="0.2">
      <c r="A19" s="9" t="s">
        <v>142</v>
      </c>
      <c r="B19" s="9" t="s">
        <v>127</v>
      </c>
      <c r="C19" s="9" t="s">
        <v>143</v>
      </c>
      <c r="D19" s="9">
        <v>1</v>
      </c>
      <c r="E19" s="9" t="s">
        <v>46</v>
      </c>
      <c r="F19" s="9" t="s">
        <v>129</v>
      </c>
      <c r="G19" s="10" t="s">
        <v>144</v>
      </c>
      <c r="H19" s="10" t="s">
        <v>145</v>
      </c>
      <c r="I19" s="10" t="s">
        <v>146</v>
      </c>
      <c r="J19" s="8" t="s">
        <v>201</v>
      </c>
      <c r="K19" s="8" t="s">
        <v>223</v>
      </c>
      <c r="L19" s="8" t="s">
        <v>206</v>
      </c>
      <c r="M19" s="8" t="s">
        <v>221</v>
      </c>
    </row>
    <row r="20" spans="1:13" ht="60" customHeight="1" x14ac:dyDescent="0.2">
      <c r="A20" s="6" t="s">
        <v>147</v>
      </c>
      <c r="B20" s="6" t="s">
        <v>148</v>
      </c>
      <c r="C20" s="6" t="s">
        <v>149</v>
      </c>
      <c r="D20" s="6">
        <v>1</v>
      </c>
      <c r="E20" s="6" t="s">
        <v>46</v>
      </c>
      <c r="F20" s="6" t="s">
        <v>150</v>
      </c>
      <c r="G20" s="7" t="s">
        <v>151</v>
      </c>
      <c r="H20" s="7" t="s">
        <v>152</v>
      </c>
      <c r="I20" s="7" t="s">
        <v>153</v>
      </c>
      <c r="J20" s="8" t="s">
        <v>201</v>
      </c>
      <c r="K20" s="8" t="s">
        <v>224</v>
      </c>
      <c r="L20" s="8" t="s">
        <v>206</v>
      </c>
      <c r="M20" s="8" t="s">
        <v>221</v>
      </c>
    </row>
    <row r="21" spans="1:13" ht="60" customHeight="1" x14ac:dyDescent="0.2">
      <c r="A21" s="9" t="s">
        <v>154</v>
      </c>
      <c r="B21" s="9" t="s">
        <v>148</v>
      </c>
      <c r="C21" s="9" t="s">
        <v>155</v>
      </c>
      <c r="D21" s="9">
        <v>1</v>
      </c>
      <c r="E21" s="9" t="s">
        <v>46</v>
      </c>
      <c r="F21" s="9" t="s">
        <v>150</v>
      </c>
      <c r="G21" s="10" t="s">
        <v>156</v>
      </c>
      <c r="H21" s="10" t="s">
        <v>157</v>
      </c>
      <c r="I21" s="10" t="s">
        <v>158</v>
      </c>
      <c r="J21" s="8" t="s">
        <v>201</v>
      </c>
      <c r="K21" s="8" t="s">
        <v>225</v>
      </c>
      <c r="L21" s="8" t="s">
        <v>206</v>
      </c>
      <c r="M21" s="8" t="s">
        <v>221</v>
      </c>
    </row>
    <row r="22" spans="1:13" ht="70" x14ac:dyDescent="0.2">
      <c r="A22" s="6" t="s">
        <v>159</v>
      </c>
      <c r="B22" s="6" t="s">
        <v>148</v>
      </c>
      <c r="C22" s="6" t="s">
        <v>160</v>
      </c>
      <c r="D22" s="6">
        <v>1</v>
      </c>
      <c r="E22" s="6" t="s">
        <v>46</v>
      </c>
      <c r="F22" s="6" t="s">
        <v>150</v>
      </c>
      <c r="G22" s="7" t="s">
        <v>161</v>
      </c>
      <c r="H22" s="7" t="s">
        <v>162</v>
      </c>
      <c r="I22" s="7" t="s">
        <v>163</v>
      </c>
      <c r="J22" s="8" t="s">
        <v>51</v>
      </c>
      <c r="K22" s="8"/>
      <c r="L22" s="8"/>
      <c r="M22" s="8"/>
    </row>
    <row r="23" spans="1:13" ht="60" customHeight="1" x14ac:dyDescent="0.2">
      <c r="A23" s="9" t="s">
        <v>164</v>
      </c>
      <c r="B23" s="9" t="s">
        <v>148</v>
      </c>
      <c r="C23" s="9" t="s">
        <v>165</v>
      </c>
      <c r="D23" s="9">
        <v>2</v>
      </c>
      <c r="E23" s="9" t="s">
        <v>54</v>
      </c>
      <c r="F23" s="9" t="s">
        <v>150</v>
      </c>
      <c r="G23" s="10" t="s">
        <v>166</v>
      </c>
      <c r="H23" s="10" t="s">
        <v>162</v>
      </c>
      <c r="I23" s="10" t="s">
        <v>167</v>
      </c>
      <c r="J23" s="8" t="s">
        <v>51</v>
      </c>
      <c r="K23" s="8"/>
      <c r="L23" s="8"/>
      <c r="M23" s="8"/>
    </row>
    <row r="24" spans="1:13" ht="60" customHeight="1" x14ac:dyDescent="0.2">
      <c r="A24" s="6" t="s">
        <v>168</v>
      </c>
      <c r="B24" s="6" t="s">
        <v>148</v>
      </c>
      <c r="C24" s="6" t="s">
        <v>169</v>
      </c>
      <c r="D24" s="6">
        <v>2</v>
      </c>
      <c r="E24" s="6" t="s">
        <v>46</v>
      </c>
      <c r="F24" s="6" t="s">
        <v>150</v>
      </c>
      <c r="G24" s="7" t="s">
        <v>170</v>
      </c>
      <c r="H24" s="7" t="s">
        <v>171</v>
      </c>
      <c r="I24" s="7" t="s">
        <v>172</v>
      </c>
      <c r="J24" s="8" t="s">
        <v>51</v>
      </c>
      <c r="K24" s="8"/>
      <c r="L24" s="8"/>
      <c r="M24" s="8"/>
    </row>
    <row r="25" spans="1:13" ht="60" customHeight="1" x14ac:dyDescent="0.2">
      <c r="A25" s="9" t="s">
        <v>173</v>
      </c>
      <c r="B25" s="9" t="s">
        <v>148</v>
      </c>
      <c r="C25" s="9" t="s">
        <v>174</v>
      </c>
      <c r="D25" s="9">
        <v>1</v>
      </c>
      <c r="E25" s="9" t="s">
        <v>46</v>
      </c>
      <c r="F25" s="9" t="s">
        <v>150</v>
      </c>
      <c r="G25" s="10" t="s">
        <v>175</v>
      </c>
      <c r="H25" s="10" t="s">
        <v>176</v>
      </c>
      <c r="I25" s="10" t="s">
        <v>177</v>
      </c>
      <c r="J25" s="8" t="s">
        <v>51</v>
      </c>
      <c r="K25" s="8"/>
      <c r="L25" s="8"/>
      <c r="M25" s="8"/>
    </row>
    <row r="26" spans="1:13" ht="60" customHeight="1" x14ac:dyDescent="0.2">
      <c r="A26" s="6" t="s">
        <v>178</v>
      </c>
      <c r="B26" s="6" t="s">
        <v>148</v>
      </c>
      <c r="C26" s="6" t="s">
        <v>179</v>
      </c>
      <c r="D26" s="6">
        <v>2</v>
      </c>
      <c r="E26" s="6" t="s">
        <v>54</v>
      </c>
      <c r="F26" s="6" t="s">
        <v>150</v>
      </c>
      <c r="G26" s="7" t="s">
        <v>180</v>
      </c>
      <c r="H26" s="7" t="s">
        <v>181</v>
      </c>
      <c r="I26" s="7" t="s">
        <v>182</v>
      </c>
      <c r="J26" s="8" t="s">
        <v>51</v>
      </c>
      <c r="K26" s="8"/>
      <c r="L26" s="8"/>
      <c r="M26" s="8"/>
    </row>
    <row r="27" spans="1:13" ht="60" customHeight="1" x14ac:dyDescent="0.2">
      <c r="A27" s="9" t="s">
        <v>183</v>
      </c>
      <c r="B27" s="9" t="s">
        <v>184</v>
      </c>
      <c r="C27" s="9" t="s">
        <v>185</v>
      </c>
      <c r="D27" s="9">
        <v>1</v>
      </c>
      <c r="E27" s="9" t="s">
        <v>46</v>
      </c>
      <c r="F27" s="9" t="s">
        <v>186</v>
      </c>
      <c r="G27" s="10" t="s">
        <v>187</v>
      </c>
      <c r="H27" s="10" t="s">
        <v>188</v>
      </c>
      <c r="I27" s="10" t="s">
        <v>189</v>
      </c>
      <c r="J27" s="8" t="s">
        <v>51</v>
      </c>
      <c r="K27" s="8"/>
      <c r="L27" s="8"/>
      <c r="M27" s="8"/>
    </row>
    <row r="28" spans="1:13" ht="60" customHeight="1" x14ac:dyDescent="0.2">
      <c r="A28" s="6" t="s">
        <v>190</v>
      </c>
      <c r="B28" s="6" t="s">
        <v>184</v>
      </c>
      <c r="C28" s="6" t="s">
        <v>191</v>
      </c>
      <c r="D28" s="6">
        <v>2</v>
      </c>
      <c r="E28" s="6" t="s">
        <v>46</v>
      </c>
      <c r="F28" s="6" t="s">
        <v>186</v>
      </c>
      <c r="G28" s="7" t="s">
        <v>170</v>
      </c>
      <c r="H28" s="7" t="s">
        <v>192</v>
      </c>
      <c r="I28" s="7" t="s">
        <v>193</v>
      </c>
      <c r="J28" s="8" t="s">
        <v>51</v>
      </c>
      <c r="K28" s="8"/>
      <c r="L28" s="8"/>
      <c r="M28" s="8"/>
    </row>
    <row r="29" spans="1:13" ht="60" customHeight="1" x14ac:dyDescent="0.2">
      <c r="A29" s="9" t="s">
        <v>194</v>
      </c>
      <c r="B29" s="9" t="s">
        <v>184</v>
      </c>
      <c r="C29" s="9" t="s">
        <v>195</v>
      </c>
      <c r="D29" s="9">
        <v>2</v>
      </c>
      <c r="E29" s="9" t="s">
        <v>54</v>
      </c>
      <c r="F29" s="9" t="s">
        <v>186</v>
      </c>
      <c r="G29" s="10" t="s">
        <v>196</v>
      </c>
      <c r="H29" s="10" t="s">
        <v>197</v>
      </c>
      <c r="I29" s="10" t="s">
        <v>198</v>
      </c>
      <c r="J29" s="8" t="s">
        <v>51</v>
      </c>
      <c r="K29" s="8"/>
      <c r="L29" s="8"/>
      <c r="M29" s="8"/>
    </row>
  </sheetData>
  <autoFilter ref="A1:M29" xr:uid="{00000000-0009-0000-0000-000001000000}"/>
  <conditionalFormatting sqref="J2:J29">
    <cfRule type="cellIs" dxfId="2" priority="2" operator="equal">
      <formula>"Passed"</formula>
    </cfRule>
    <cfRule type="cellIs" dxfId="1" priority="3" operator="equal">
      <formula>"Failed"</formula>
    </cfRule>
    <cfRule type="cellIs" dxfId="0" priority="4" operator="equal">
      <formula>"Blocked"</formula>
    </cfRule>
  </conditionalFormatting>
  <dataValidations count="1">
    <dataValidation type="list" allowBlank="1" sqref="J2:J29" xr:uid="{00000000-0002-0000-0100-000000000000}">
      <formula1>"Not Run,Passed,Failed,Blocked"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3"/>
  <sheetViews>
    <sheetView showGridLines="0" zoomScaleNormal="100" workbookViewId="0">
      <selection sqref="A1:F1"/>
    </sheetView>
  </sheetViews>
  <sheetFormatPr baseColWidth="10" defaultColWidth="8.6640625" defaultRowHeight="15" x14ac:dyDescent="0.2"/>
  <cols>
    <col min="1" max="1" width="28" customWidth="1"/>
    <col min="2" max="6" width="14" customWidth="1"/>
  </cols>
  <sheetData>
    <row r="1" spans="1:6" ht="20" x14ac:dyDescent="0.2">
      <c r="A1" s="18" t="s">
        <v>199</v>
      </c>
      <c r="B1" s="18"/>
      <c r="C1" s="18"/>
      <c r="D1" s="18"/>
      <c r="E1" s="18"/>
      <c r="F1" s="18"/>
    </row>
    <row r="3" spans="1:6" x14ac:dyDescent="0.2">
      <c r="A3" s="5" t="s">
        <v>31</v>
      </c>
      <c r="B3" s="5" t="s">
        <v>200</v>
      </c>
      <c r="C3" s="5" t="s">
        <v>201</v>
      </c>
      <c r="D3" s="5" t="s">
        <v>202</v>
      </c>
      <c r="E3" s="5" t="s">
        <v>203</v>
      </c>
      <c r="F3" s="5" t="s">
        <v>51</v>
      </c>
    </row>
    <row r="4" spans="1:6" x14ac:dyDescent="0.2">
      <c r="A4" s="11" t="s">
        <v>44</v>
      </c>
      <c r="B4" s="12">
        <f>COUNTIF('Test Cases'!$B$2:$B$29,A4)</f>
        <v>3</v>
      </c>
      <c r="C4" s="12">
        <f>COUNTIFS('Test Cases'!$B$2:$B$29,A4,'Test Cases'!$J$2:$J$29,"Passed")</f>
        <v>3</v>
      </c>
      <c r="D4" s="12">
        <f>COUNTIFS('Test Cases'!$B$2:$B$29,A4,'Test Cases'!$J$2:$J$29,"Failed")</f>
        <v>0</v>
      </c>
      <c r="E4" s="12">
        <f>COUNTIFS('Test Cases'!$B$2:$B$29,A4,'Test Cases'!$J$2:$J$29,"Blocked")</f>
        <v>0</v>
      </c>
      <c r="F4" s="12">
        <f>COUNTIFS('Test Cases'!$B$2:$B$29,A4,'Test Cases'!$J$2:$J$29,"Not Run")</f>
        <v>0</v>
      </c>
    </row>
    <row r="5" spans="1:6" x14ac:dyDescent="0.2">
      <c r="A5" s="11" t="s">
        <v>65</v>
      </c>
      <c r="B5" s="12">
        <f>COUNTIF('Test Cases'!$B$2:$B$29,A5)</f>
        <v>2</v>
      </c>
      <c r="C5" s="12">
        <f>COUNTIFS('Test Cases'!$B$2:$B$29,A5,'Test Cases'!$J$2:$J$29,"Passed")</f>
        <v>0</v>
      </c>
      <c r="D5" s="12">
        <f>COUNTIFS('Test Cases'!$B$2:$B$29,A5,'Test Cases'!$J$2:$J$29,"Failed")</f>
        <v>0</v>
      </c>
      <c r="E5" s="12">
        <f>COUNTIFS('Test Cases'!$B$2:$B$29,A5,'Test Cases'!$J$2:$J$29,"Blocked")</f>
        <v>2</v>
      </c>
      <c r="F5" s="12">
        <f>COUNTIFS('Test Cases'!$B$2:$B$29,A5,'Test Cases'!$J$2:$J$29,"Not Run")</f>
        <v>0</v>
      </c>
    </row>
    <row r="6" spans="1:6" x14ac:dyDescent="0.2">
      <c r="A6" s="11" t="s">
        <v>77</v>
      </c>
      <c r="B6" s="12">
        <f>COUNTIF('Test Cases'!$B$2:$B$29,A6)</f>
        <v>5</v>
      </c>
      <c r="C6" s="12">
        <f>COUNTIFS('Test Cases'!$B$2:$B$29,A6,'Test Cases'!$J$2:$J$29,"Passed")</f>
        <v>3</v>
      </c>
      <c r="D6" s="12">
        <f>COUNTIFS('Test Cases'!$B$2:$B$29,A6,'Test Cases'!$J$2:$J$29,"Failed")</f>
        <v>0</v>
      </c>
      <c r="E6" s="12">
        <f>COUNTIFS('Test Cases'!$B$2:$B$29,A6,'Test Cases'!$J$2:$J$29,"Blocked")</f>
        <v>2</v>
      </c>
      <c r="F6" s="12">
        <f>COUNTIFS('Test Cases'!$B$2:$B$29,A6,'Test Cases'!$J$2:$J$29,"Not Run")</f>
        <v>0</v>
      </c>
    </row>
    <row r="7" spans="1:6" x14ac:dyDescent="0.2">
      <c r="A7" s="11" t="s">
        <v>105</v>
      </c>
      <c r="B7" s="12">
        <f>COUNTIF('Test Cases'!$B$2:$B$29,A7)</f>
        <v>4</v>
      </c>
      <c r="C7" s="12">
        <f>COUNTIFS('Test Cases'!$B$2:$B$29,A7,'Test Cases'!$J$2:$J$29,"Passed")</f>
        <v>4</v>
      </c>
      <c r="D7" s="12">
        <f>COUNTIFS('Test Cases'!$B$2:$B$29,A7,'Test Cases'!$J$2:$J$29,"Failed")</f>
        <v>0</v>
      </c>
      <c r="E7" s="12">
        <f>COUNTIFS('Test Cases'!$B$2:$B$29,A7,'Test Cases'!$J$2:$J$29,"Blocked")</f>
        <v>0</v>
      </c>
      <c r="F7" s="12">
        <f>COUNTIFS('Test Cases'!$B$2:$B$29,A7,'Test Cases'!$J$2:$J$29,"Not Run")</f>
        <v>0</v>
      </c>
    </row>
    <row r="8" spans="1:6" x14ac:dyDescent="0.2">
      <c r="A8" s="11" t="s">
        <v>127</v>
      </c>
      <c r="B8" s="12">
        <f>COUNTIF('Test Cases'!$B$2:$B$29,A8)</f>
        <v>4</v>
      </c>
      <c r="C8" s="12">
        <f>COUNTIFS('Test Cases'!$B$2:$B$29,A8,'Test Cases'!$J$2:$J$29,"Passed")</f>
        <v>4</v>
      </c>
      <c r="D8" s="12">
        <f>COUNTIFS('Test Cases'!$B$2:$B$29,A8,'Test Cases'!$J$2:$J$29,"Failed")</f>
        <v>0</v>
      </c>
      <c r="E8" s="12">
        <f>COUNTIFS('Test Cases'!$B$2:$B$29,A8,'Test Cases'!$J$2:$J$29,"Blocked")</f>
        <v>0</v>
      </c>
      <c r="F8" s="12">
        <f>COUNTIFS('Test Cases'!$B$2:$B$29,A8,'Test Cases'!$J$2:$J$29,"Not Run")</f>
        <v>0</v>
      </c>
    </row>
    <row r="9" spans="1:6" x14ac:dyDescent="0.2">
      <c r="A9" s="11" t="s">
        <v>148</v>
      </c>
      <c r="B9" s="12">
        <f>COUNTIF('Test Cases'!$B$2:$B$29,A9)</f>
        <v>7</v>
      </c>
      <c r="C9" s="12">
        <f>COUNTIFS('Test Cases'!$B$2:$B$29,A9,'Test Cases'!$J$2:$J$29,"Passed")</f>
        <v>2</v>
      </c>
      <c r="D9" s="12">
        <f>COUNTIFS('Test Cases'!$B$2:$B$29,A9,'Test Cases'!$J$2:$J$29,"Failed")</f>
        <v>0</v>
      </c>
      <c r="E9" s="12">
        <f>COUNTIFS('Test Cases'!$B$2:$B$29,A9,'Test Cases'!$J$2:$J$29,"Blocked")</f>
        <v>0</v>
      </c>
      <c r="F9" s="12">
        <f>COUNTIFS('Test Cases'!$B$2:$B$29,A9,'Test Cases'!$J$2:$J$29,"Not Run")</f>
        <v>5</v>
      </c>
    </row>
    <row r="10" spans="1:6" x14ac:dyDescent="0.2">
      <c r="A10" s="11" t="s">
        <v>184</v>
      </c>
      <c r="B10" s="12">
        <f>COUNTIF('Test Cases'!$B$2:$B$29,A10)</f>
        <v>3</v>
      </c>
      <c r="C10" s="12">
        <f>COUNTIFS('Test Cases'!$B$2:$B$29,A10,'Test Cases'!$J$2:$J$29,"Passed")</f>
        <v>0</v>
      </c>
      <c r="D10" s="12">
        <f>COUNTIFS('Test Cases'!$B$2:$B$29,A10,'Test Cases'!$J$2:$J$29,"Failed")</f>
        <v>0</v>
      </c>
      <c r="E10" s="12">
        <f>COUNTIFS('Test Cases'!$B$2:$B$29,A10,'Test Cases'!$J$2:$J$29,"Blocked")</f>
        <v>0</v>
      </c>
      <c r="F10" s="12">
        <f>COUNTIFS('Test Cases'!$B$2:$B$29,A10,'Test Cases'!$J$2:$J$29,"Not Run")</f>
        <v>3</v>
      </c>
    </row>
    <row r="11" spans="1:6" x14ac:dyDescent="0.2">
      <c r="A11" s="13" t="s">
        <v>204</v>
      </c>
      <c r="B11" s="14">
        <f>SUM(B4:B10)</f>
        <v>28</v>
      </c>
      <c r="C11" s="14">
        <f>SUM(C4:C10)</f>
        <v>16</v>
      </c>
      <c r="D11" s="14">
        <f>SUM(D4:D10)</f>
        <v>0</v>
      </c>
      <c r="E11" s="14">
        <f>SUM(E4:E10)</f>
        <v>4</v>
      </c>
      <c r="F11" s="14">
        <f>SUM(F4:F10)</f>
        <v>8</v>
      </c>
    </row>
    <row r="13" spans="1:6" x14ac:dyDescent="0.2">
      <c r="A13" s="1" t="s">
        <v>205</v>
      </c>
      <c r="B13" s="15">
        <f>IFERROR(C11/(C11+D11+E11),"n/a")</f>
        <v>0.8</v>
      </c>
    </row>
  </sheetData>
  <mergeCells count="1">
    <mergeCell ref="A1:F1"/>
  </mergeCells>
  <pageMargins left="0.75" right="0.75" top="1" bottom="1" header="0.511811023622047" footer="0.511811023622047"/>
  <pageSetup fitToHeight="0" orientation="landscape" horizontalDpi="300" verticalDpi="300"/>
</worksheet>
</file>

<file path=docMetadata/LabelInfo.xml><?xml version="1.0" encoding="utf-8"?>
<clbl:labelList xmlns:clbl="http://schemas.microsoft.com/office/2020/mipLabelMetadata">
  <clbl:label id="{db04bd20-72f3-411d-9324-63094fc42163}" enabled="1" method="Standard" siteId="{0b6a780e-a9c6-4482-97dc-2aecb06ee1b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Plan</vt:lpstr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Cheniti, Achraf</cp:lastModifiedBy>
  <cp:revision>0</cp:revision>
  <dcterms:created xsi:type="dcterms:W3CDTF">2026-08-15T21:54:11Z</dcterms:created>
  <dcterms:modified xsi:type="dcterms:W3CDTF">2026-08-16T15:39:12Z</dcterms:modified>
  <dc:language>en-US</dc:language>
</cp:coreProperties>
</file>